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Gamer\Desktop\Engenharia de dados\Cursos\Projeto Dashboard\"/>
    </mc:Choice>
  </mc:AlternateContent>
  <bookViews>
    <workbookView xWindow="0" yWindow="0" windowWidth="25600" windowHeight="7310" tabRatio="256" firstSheet="2" activeTab="2"/>
  </bookViews>
  <sheets>
    <sheet name="Assets" sheetId="1" state="hidden" r:id="rId1"/>
    <sheet name="Base" sheetId="2" state="hidden" r:id="rId2"/>
    <sheet name="Dashboard" sheetId="4" r:id="rId3"/>
  </sheets>
  <definedNames>
    <definedName name="SegmentaçãodeDados_Age_Group">#N/A</definedName>
    <definedName name="SegmentaçãodeDados_JobLevel">#N/A</definedName>
  </definedNames>
  <calcPr calcId="152511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" i="2" l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H36" i="1"/>
  <c r="H42" i="1"/>
  <c r="T5" i="1" l="1"/>
</calcChain>
</file>

<file path=xl/sharedStrings.xml><?xml version="1.0" encoding="utf-8"?>
<sst xmlns="http://schemas.openxmlformats.org/spreadsheetml/2006/main" count="13314" uniqueCount="93">
  <si>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</si>
  <si>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</si>
  <si>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</si>
  <si>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</si>
  <si>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</si>
  <si>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</si>
  <si>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</si>
  <si>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</si>
  <si>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</si>
  <si>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</si>
  <si>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</si>
  <si>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</si>
  <si>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</si>
  <si>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</si>
  <si>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</si>
  <si>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</si>
  <si>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</si>
  <si>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</si>
  <si>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</si>
  <si>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</si>
  <si>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</si>
  <si>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</si>
  <si>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</si>
  <si>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</si>
  <si>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</si>
  <si>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</si>
  <si>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</si>
  <si>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</si>
  <si>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</si>
  <si>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</si>
  <si>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</si>
  <si>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</si>
  <si>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</si>
  <si>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</si>
  <si>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</si>
  <si>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</si>
  <si>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</si>
  <si>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</si>
  <si>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</si>
  <si>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</si>
  <si>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</si>
  <si>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</si>
  <si>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</si>
  <si>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</si>
  <si>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</si>
  <si>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</si>
  <si>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</si>
  <si>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</si>
  <si>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</si>
  <si>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</si>
  <si>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</si>
  <si>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</si>
  <si>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</si>
  <si>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</si>
  <si>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</si>
  <si>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</si>
  <si>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</si>
  <si>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</si>
  <si>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</si>
  <si>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</si>
  <si>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</si>
  <si>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</si>
  <si>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</si>
  <si>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Minimum Age</t>
  </si>
  <si>
    <t>Category</t>
  </si>
  <si>
    <t>Salary Range</t>
  </si>
  <si>
    <t>Minimum Limit</t>
  </si>
  <si>
    <t>Salary Group</t>
  </si>
  <si>
    <t>Job Level</t>
  </si>
  <si>
    <t>Age Range</t>
  </si>
  <si>
    <t>#305496</t>
  </si>
  <si>
    <t>#ff9900</t>
  </si>
  <si>
    <t>#f2f2f2</t>
  </si>
  <si>
    <t>PEOPLE ANALYTICS</t>
  </si>
  <si>
    <t>Over $12.000</t>
  </si>
  <si>
    <t>Up to $3.000</t>
  </si>
  <si>
    <t>Panel Background</t>
  </si>
  <si>
    <t>Cards and Menus</t>
  </si>
  <si>
    <t>Alerts / Turnover</t>
  </si>
  <si>
    <t>Grand total</t>
  </si>
  <si>
    <t>18 to 25 years old</t>
  </si>
  <si>
    <t>26 to 35 years old</t>
  </si>
  <si>
    <t>36 to 45 years old</t>
  </si>
  <si>
    <t>46 to 55 years old</t>
  </si>
  <si>
    <t>56 years or older</t>
  </si>
  <si>
    <t>Sum of Monthly Income</t>
  </si>
  <si>
    <t>What is the number of people per salary range?</t>
  </si>
  <si>
    <t>$3.001 to $7.000</t>
  </si>
  <si>
    <t>$7.001 to $12.000</t>
  </si>
  <si>
    <t>What is the monthly income amount by age group?</t>
  </si>
  <si>
    <t>Grand Total</t>
  </si>
  <si>
    <t>What is the total monthly income?</t>
  </si>
  <si>
    <t>Sum od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</si>
</sst>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8" tint="-0.24994659260841701"/>
      </bottom>
      <diagonal/>
    </border>
    <border>
      <left/>
      <right/>
      <top/>
      <bottom style="thick">
        <color theme="4" tint="-0.499984740745262"/>
      </bottom>
      <diagonal/>
    </border>
  </borders>
  <cellStyleXfs count="2">
    <xf numFmtId="0" fontId="0" fillId="0" borderId="0"/>
    <xf numFmtId="0" fontId="2" fillId="0" borderId="5" applyNumberFormat="0" applyFill="0" applyAlignment="0" applyProtection="0"/>
  </cellStyleXfs>
  <cellXfs count="26">
    <xf numFmtId="0" fontId="0" fillId="0" borderId="0" xfId="0"/>
    <xf numFmtId="0" fontId="0" fillId="0" borderId="1" xfId="0" applyFont="1" applyBorder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2" xfId="0" applyFont="1" applyBorder="1"/>
    <xf numFmtId="0" fontId="0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" fontId="0" fillId="2" borderId="3" xfId="0" applyNumberFormat="1" applyFont="1" applyFill="1" applyBorder="1"/>
    <xf numFmtId="1" fontId="0" fillId="0" borderId="3" xfId="0" applyNumberFormat="1" applyFont="1" applyBorder="1"/>
    <xf numFmtId="1" fontId="0" fillId="2" borderId="1" xfId="0" applyNumberFormat="1" applyFont="1" applyFill="1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7" borderId="7" xfId="0" applyFill="1" applyBorder="1"/>
    <xf numFmtId="0" fontId="2" fillId="7" borderId="6" xfId="1" applyFill="1" applyBorder="1"/>
  </cellXfs>
  <cellStyles count="2">
    <cellStyle name="Normal" xfId="0" builtinId="0"/>
    <cellStyle name="Título 1" xfId="1" builtinId="16"/>
  </cellStyles>
  <dxfs count="6"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medium">
          <color rgb="FFFF9900"/>
        </left>
        <right style="medium">
          <color rgb="FFFF9900"/>
        </right>
        <top style="medium">
          <color rgb="FFFF9900"/>
        </top>
        <bottom style="medium">
          <color rgb="FFFF9900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medium">
          <color rgb="FFFF9900"/>
        </left>
        <right style="medium">
          <color rgb="FFFF9900"/>
        </right>
        <top style="medium">
          <color rgb="FFFF9900"/>
        </top>
        <bottom style="medium">
          <color rgb="FFFF9900"/>
        </bottom>
        <vertical/>
        <horizontal/>
      </border>
    </dxf>
  </dxfs>
  <tableStyles count="2" defaultTableStyle="TableStyleMedium2" defaultPivotStyle="PivotStyleLight16">
    <tableStyle name="SlicerStyleDark2 2" pivot="0" table="0" count="10">
      <tableStyleElement type="wholeTable" dxfId="5"/>
      <tableStyleElement type="headerRow" dxfId="4"/>
    </tableStyle>
    <tableStyle name="SlicerStyleDark6 2" pivot="0" table="0" count="10">
      <tableStyleElement type="wholeTable" dxfId="3"/>
      <tableStyleElement type="headerRow" dxfId="2"/>
    </tableStyle>
  </tableStyles>
  <colors>
    <mruColors>
      <color rgb="FFFF9900"/>
      <color rgb="FFF2F2F2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[Dashboard_People_Analytics.xlsx]Assets!Age Group</c:name>
    <c:fmtId val="0"/>
  </c:pivotSource>
  <c:chart>
    <c:autoTitleDeleted val="1"/>
    <c:pivotFmts>
      <c:pivotFmt>
        <c:idx val="0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Assets!$I$6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Assets!$H$7:$H$12</c:f>
              <c:strCache>
                <c:ptCount val="5"/>
                <c:pt idx="0">
                  <c:v>18 to 25 years old</c:v>
                </c:pt>
                <c:pt idx="1">
                  <c:v>26 to 35 years old</c:v>
                </c:pt>
                <c:pt idx="2">
                  <c:v>36 to 45 years old</c:v>
                </c:pt>
                <c:pt idx="3">
                  <c:v>46 to 55 years old</c:v>
                </c:pt>
                <c:pt idx="4">
                  <c:v>56 years or older</c:v>
                </c:pt>
              </c:strCache>
            </c:strRef>
          </c:cat>
          <c:val>
            <c:numRef>
              <c:f>Assets!$I$7:$I$12</c:f>
              <c:numCache>
                <c:formatCode>General</c:formatCode>
                <c:ptCount val="5"/>
                <c:pt idx="0">
                  <c:v>365665</c:v>
                </c:pt>
                <c:pt idx="1">
                  <c:v>2966754</c:v>
                </c:pt>
                <c:pt idx="2">
                  <c:v>3324880</c:v>
                </c:pt>
                <c:pt idx="3">
                  <c:v>2469719</c:v>
                </c:pt>
                <c:pt idx="4">
                  <c:v>432291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78372992"/>
        <c:axId val="-278372448"/>
      </c:barChart>
      <c:catAx>
        <c:axId val="-27837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78372448"/>
        <c:crosses val="autoZero"/>
        <c:auto val="1"/>
        <c:lblAlgn val="ctr"/>
        <c:lblOffset val="100"/>
        <c:noMultiLvlLbl val="0"/>
      </c:catAx>
      <c:valAx>
        <c:axId val="-278372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7837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99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[Dashboard_People_Analytics.xlsx]Assets!Job Level</c:name>
    <c:fmtId val="0"/>
  </c:pivotSource>
  <c:chart>
    <c:autoTitleDeleted val="1"/>
    <c:pivotFmts>
      <c:pivotFmt>
        <c:idx val="0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Assets!$I$22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Assets!$H$23:$H$28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Assets!$I$23:$I$28</c:f>
              <c:numCache>
                <c:formatCode>General</c:formatCode>
                <c:ptCount val="5"/>
                <c:pt idx="0">
                  <c:v>1513295</c:v>
                </c:pt>
                <c:pt idx="1">
                  <c:v>2938216</c:v>
                </c:pt>
                <c:pt idx="2">
                  <c:v>2140161</c:v>
                </c:pt>
                <c:pt idx="3">
                  <c:v>1643401</c:v>
                </c:pt>
                <c:pt idx="4">
                  <c:v>1324236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78362112"/>
        <c:axId val="-278376256"/>
      </c:barChart>
      <c:catAx>
        <c:axId val="-27836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78376256"/>
        <c:crosses val="autoZero"/>
        <c:auto val="1"/>
        <c:lblAlgn val="ctr"/>
        <c:lblOffset val="100"/>
        <c:noMultiLvlLbl val="0"/>
      </c:catAx>
      <c:valAx>
        <c:axId val="-278376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783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rgbClr val="FF99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[Dashboard_People_Analytics.xlsx]Assets!Age Group</c:name>
    <c:fmtId val="6"/>
  </c:pivotSource>
  <c:chart>
    <c:autoTitleDeleted val="1"/>
    <c:pivotFmts>
      <c:pivotFmt>
        <c:idx val="0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136204398534361"/>
          <c:y val="5.1695191533089921E-2"/>
          <c:w val="0.76358825657817597"/>
          <c:h val="0.896609616933820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Assets!$I$6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Assets!$H$7:$H$12</c:f>
              <c:strCache>
                <c:ptCount val="5"/>
                <c:pt idx="0">
                  <c:v>18 to 25 years old</c:v>
                </c:pt>
                <c:pt idx="1">
                  <c:v>26 to 35 years old</c:v>
                </c:pt>
                <c:pt idx="2">
                  <c:v>36 to 45 years old</c:v>
                </c:pt>
                <c:pt idx="3">
                  <c:v>46 to 55 years old</c:v>
                </c:pt>
                <c:pt idx="4">
                  <c:v>56 years or older</c:v>
                </c:pt>
              </c:strCache>
            </c:strRef>
          </c:cat>
          <c:val>
            <c:numRef>
              <c:f>Assets!$I$7:$I$12</c:f>
              <c:numCache>
                <c:formatCode>General</c:formatCode>
                <c:ptCount val="5"/>
                <c:pt idx="0">
                  <c:v>365665</c:v>
                </c:pt>
                <c:pt idx="1">
                  <c:v>2966754</c:v>
                </c:pt>
                <c:pt idx="2">
                  <c:v>3324880</c:v>
                </c:pt>
                <c:pt idx="3">
                  <c:v>2469719</c:v>
                </c:pt>
                <c:pt idx="4">
                  <c:v>432291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78375712"/>
        <c:axId val="-278375168"/>
      </c:barChart>
      <c:catAx>
        <c:axId val="-27837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78375168"/>
        <c:crosses val="autoZero"/>
        <c:auto val="1"/>
        <c:lblAlgn val="ctr"/>
        <c:lblOffset val="100"/>
        <c:noMultiLvlLbl val="0"/>
      </c:catAx>
      <c:valAx>
        <c:axId val="-278375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7837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99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[Dashboard_People_Analytics.xlsx]Assets!Job Level</c:name>
    <c:fmtId val="4"/>
  </c:pivotSource>
  <c:chart>
    <c:autoTitleDeleted val="1"/>
    <c:pivotFmts>
      <c:pivotFmt>
        <c:idx val="0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FF99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Assets!$I$22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Assets!$H$23:$H$28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Assets!$I$23:$I$28</c:f>
              <c:numCache>
                <c:formatCode>General</c:formatCode>
                <c:ptCount val="5"/>
                <c:pt idx="0">
                  <c:v>1513295</c:v>
                </c:pt>
                <c:pt idx="1">
                  <c:v>2938216</c:v>
                </c:pt>
                <c:pt idx="2">
                  <c:v>2140161</c:v>
                </c:pt>
                <c:pt idx="3">
                  <c:v>1643401</c:v>
                </c:pt>
                <c:pt idx="4">
                  <c:v>1324236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78371904"/>
        <c:axId val="-278370816"/>
      </c:barChart>
      <c:catAx>
        <c:axId val="-27837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78370816"/>
        <c:crosses val="autoZero"/>
        <c:auto val="1"/>
        <c:lblAlgn val="ctr"/>
        <c:lblOffset val="100"/>
        <c:noMultiLvlLbl val="0"/>
      </c:catAx>
      <c:valAx>
        <c:axId val="-27837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7837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rgbClr val="FF99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3</xdr:row>
      <xdr:rowOff>177800</xdr:rowOff>
    </xdr:from>
    <xdr:to>
      <xdr:col>15</xdr:col>
      <xdr:colOff>123825</xdr:colOff>
      <xdr:row>18</xdr:row>
      <xdr:rowOff>158750</xdr:rowOff>
    </xdr:to>
    <xdr:graphicFrame macro="">
      <xdr:nvGraphicFramePr>
        <xdr:cNvPr id="2" name="Age Grou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355600</xdr:colOff>
      <xdr:row>3</xdr:row>
      <xdr:rowOff>177800</xdr:rowOff>
    </xdr:from>
    <xdr:to>
      <xdr:col>18</xdr:col>
      <xdr:colOff>330200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Job 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20800" y="730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8623</xdr:colOff>
      <xdr:row>1</xdr:row>
      <xdr:rowOff>6351</xdr:rowOff>
    </xdr:from>
    <xdr:to>
      <xdr:col>9</xdr:col>
      <xdr:colOff>465477</xdr:colOff>
      <xdr:row>4</xdr:row>
      <xdr:rowOff>1</xdr:rowOff>
    </xdr:to>
    <xdr:pic>
      <xdr:nvPicPr>
        <xdr:cNvPr id="5" name="Imagem 4" descr="C:\Users\Gamer\Desktop\Engenharia de dados\Cursos\Projeto Dashboard\Sifra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9873" y="190501"/>
          <a:ext cx="456854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15</xdr:col>
      <xdr:colOff>95250</xdr:colOff>
      <xdr:row>35</xdr:row>
      <xdr:rowOff>165100</xdr:rowOff>
    </xdr:to>
    <xdr:graphicFrame macro="">
      <xdr:nvGraphicFramePr>
        <xdr:cNvPr id="7" name="Job Leve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209550</xdr:colOff>
      <xdr:row>31</xdr:row>
      <xdr:rowOff>0</xdr:rowOff>
    </xdr:from>
    <xdr:to>
      <xdr:col>9</xdr:col>
      <xdr:colOff>120650</xdr:colOff>
      <xdr:row>44</xdr:row>
      <xdr:rowOff>130175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7900" y="5708650"/>
              <a:ext cx="14160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82550</xdr:rowOff>
    </xdr:from>
    <xdr:to>
      <xdr:col>0</xdr:col>
      <xdr:colOff>533054</xdr:colOff>
      <xdr:row>2</xdr:row>
      <xdr:rowOff>133350</xdr:rowOff>
    </xdr:to>
    <xdr:pic>
      <xdr:nvPicPr>
        <xdr:cNvPr id="2" name="Imagem 1" descr="C:\Users\Gamer\Desktop\Engenharia de dados\Cursos\Projeto Dashboard\Sifra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2550"/>
          <a:ext cx="456854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205015</xdr:colOff>
      <xdr:row>18</xdr:row>
      <xdr:rowOff>178707</xdr:rowOff>
    </xdr:from>
    <xdr:to>
      <xdr:col>11</xdr:col>
      <xdr:colOff>399143</xdr:colOff>
      <xdr:row>33</xdr:row>
      <xdr:rowOff>159658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53974</xdr:colOff>
      <xdr:row>3</xdr:row>
      <xdr:rowOff>63954</xdr:rowOff>
    </xdr:from>
    <xdr:to>
      <xdr:col>3</xdr:col>
      <xdr:colOff>27213</xdr:colOff>
      <xdr:row>18</xdr:row>
      <xdr:rowOff>38553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JobLev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760" y="762454"/>
              <a:ext cx="1370239" cy="2696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214087</xdr:colOff>
      <xdr:row>3</xdr:row>
      <xdr:rowOff>60779</xdr:rowOff>
    </xdr:from>
    <xdr:to>
      <xdr:col>11</xdr:col>
      <xdr:colOff>399143</xdr:colOff>
      <xdr:row>18</xdr:row>
      <xdr:rowOff>41729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200025</xdr:colOff>
      <xdr:row>8</xdr:row>
      <xdr:rowOff>454</xdr:rowOff>
    </xdr:from>
    <xdr:to>
      <xdr:col>15</xdr:col>
      <xdr:colOff>483961</xdr:colOff>
      <xdr:row>13</xdr:row>
      <xdr:rowOff>102054</xdr:rowOff>
    </xdr:to>
    <xdr:grpSp>
      <xdr:nvGrpSpPr>
        <xdr:cNvPr id="8" name="Grupo 7"/>
        <xdr:cNvGrpSpPr/>
      </xdr:nvGrpSpPr>
      <xdr:grpSpPr>
        <a:xfrm>
          <a:off x="7674882" y="1606097"/>
          <a:ext cx="2107293" cy="1008743"/>
          <a:chOff x="11506200" y="762000"/>
          <a:chExt cx="2114550" cy="1022350"/>
        </a:xfrm>
      </xdr:grpSpPr>
      <xdr:sp macro="" textlink="Assets!H36">
        <xdr:nvSpPr>
          <xdr:cNvPr id="6" name="Retângulo de cantos arredondados 5"/>
          <xdr:cNvSpPr/>
        </xdr:nvSpPr>
        <xdr:spPr>
          <a:xfrm>
            <a:off x="11506200" y="768350"/>
            <a:ext cx="2114550" cy="1016000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98BFDF0-D491-4A6A-B48C-CC0523F72271}" type="TxLink">
              <a:rPr lang="en-US" sz="18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 $9.559.309,00 </a:t>
            </a:fld>
            <a:endParaRPr lang="en-US" sz="1800">
              <a:solidFill>
                <a:schemeClr val="tx1"/>
              </a:solidFill>
            </a:endParaRPr>
          </a:p>
        </xdr:txBody>
      </xdr:sp>
      <xdr:sp macro="" textlink="">
        <xdr:nvSpPr>
          <xdr:cNvPr id="7" name="Arredondar Retângulo no Mesmo Canto Lateral 6"/>
          <xdr:cNvSpPr/>
        </xdr:nvSpPr>
        <xdr:spPr>
          <a:xfrm>
            <a:off x="11525250" y="762000"/>
            <a:ext cx="2082800" cy="31750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tx2"/>
                </a:solidFill>
              </a:rPr>
              <a:t>Sum Salary for Level</a:t>
            </a:r>
          </a:p>
        </xdr:txBody>
      </xdr:sp>
    </xdr:grpSp>
    <xdr:clientData/>
  </xdr:twoCellAnchor>
  <xdr:twoCellAnchor>
    <xdr:from>
      <xdr:col>12</xdr:col>
      <xdr:colOff>200025</xdr:colOff>
      <xdr:row>23</xdr:row>
      <xdr:rowOff>119743</xdr:rowOff>
    </xdr:from>
    <xdr:to>
      <xdr:col>15</xdr:col>
      <xdr:colOff>483961</xdr:colOff>
      <xdr:row>29</xdr:row>
      <xdr:rowOff>37193</xdr:rowOff>
    </xdr:to>
    <xdr:grpSp>
      <xdr:nvGrpSpPr>
        <xdr:cNvPr id="12" name="Grupo 11"/>
        <xdr:cNvGrpSpPr/>
      </xdr:nvGrpSpPr>
      <xdr:grpSpPr>
        <a:xfrm>
          <a:off x="7674882" y="4446814"/>
          <a:ext cx="2107293" cy="1006022"/>
          <a:chOff x="11518900" y="2114550"/>
          <a:chExt cx="2114550" cy="1022350"/>
        </a:xfrm>
      </xdr:grpSpPr>
      <xdr:sp macro="" textlink="Assets!H42">
        <xdr:nvSpPr>
          <xdr:cNvPr id="10" name="Retângulo de cantos arredondados 9"/>
          <xdr:cNvSpPr/>
        </xdr:nvSpPr>
        <xdr:spPr>
          <a:xfrm>
            <a:off x="11518900" y="2120900"/>
            <a:ext cx="2114550" cy="1016000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981343F-3033-4D90-B6D4-E6E7253AC9AA}" type="TxLink">
              <a:rPr lang="en-US" sz="18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 $9.559.309,00 </a:t>
            </a:fld>
            <a:endParaRPr lang="en-US" sz="1800">
              <a:solidFill>
                <a:schemeClr val="tx1"/>
              </a:solidFill>
            </a:endParaRPr>
          </a:p>
        </xdr:txBody>
      </xdr:sp>
      <xdr:sp macro="" textlink="">
        <xdr:nvSpPr>
          <xdr:cNvPr id="11" name="Arredondar Retângulo no Mesmo Canto Lateral 10"/>
          <xdr:cNvSpPr/>
        </xdr:nvSpPr>
        <xdr:spPr>
          <a:xfrm>
            <a:off x="11537950" y="2114550"/>
            <a:ext cx="2082800" cy="317500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tx2"/>
                </a:solidFill>
              </a:rPr>
              <a:t>Sum Salary for Age</a:t>
            </a:r>
          </a:p>
        </xdr:txBody>
      </xdr:sp>
    </xdr:grpSp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19050</xdr:colOff>
      <xdr:row>33</xdr:row>
      <xdr:rowOff>163285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ge Grou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786" y="3601357"/>
              <a:ext cx="1416050" cy="2703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mer" refreshedDate="46217.61969097222" createdVersion="5" refreshedVersion="5" minRefreshableVersion="3" recordCount="1470">
  <cacheSource type="worksheet">
    <worksheetSource name="tb_RH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5">
        <s v="36 a 45 anos"/>
        <s v="46 a 55 anos"/>
        <s v="26 a 35 anos"/>
        <s v="56 anos ou mais"/>
        <s v="18 a 25 anos"/>
      </sharedItems>
    </cacheField>
    <cacheField name="Salary Group" numFmtId="0">
      <sharedItems count="4">
        <s v="$3.001 a $7.000"/>
        <s v="Até $3.000"/>
        <s v="$7.001 a $12.000"/>
        <s v="Acima de $12.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s v="Yes"/>
    <s v="Travel_Rarely"/>
    <n v="1102"/>
    <s v="Sales"/>
    <n v="1"/>
    <n v="2"/>
    <s v="Life Sciences"/>
    <n v="1"/>
    <n v="1"/>
    <n v="2"/>
    <s v="Female"/>
    <n v="94"/>
    <n v="3"/>
    <x v="0"/>
    <s v="Sales Executive"/>
    <n v="4"/>
    <s v="Single"/>
    <x v="0"/>
    <n v="19479"/>
    <n v="8"/>
    <s v="Y"/>
    <s v="Yes"/>
    <n v="11"/>
    <n v="3"/>
    <n v="1"/>
    <n v="80"/>
    <n v="0"/>
    <n v="8"/>
    <n v="0"/>
    <n v="1"/>
    <n v="6"/>
    <n v="4"/>
    <n v="0"/>
    <n v="5"/>
    <x v="0"/>
    <x v="0"/>
  </r>
  <r>
    <n v="49"/>
    <s v="No"/>
    <s v="Travel_Frequently"/>
    <n v="279"/>
    <s v="Research &amp; Development"/>
    <n v="8"/>
    <n v="1"/>
    <s v="Life Sciences"/>
    <n v="1"/>
    <n v="2"/>
    <n v="3"/>
    <s v="Male"/>
    <n v="61"/>
    <n v="2"/>
    <x v="0"/>
    <s v="Research Scientist"/>
    <n v="2"/>
    <s v="Married"/>
    <x v="1"/>
    <n v="24907"/>
    <n v="1"/>
    <s v="Y"/>
    <s v="No"/>
    <n v="23"/>
    <n v="4"/>
    <n v="4"/>
    <n v="80"/>
    <n v="1"/>
    <n v="10"/>
    <n v="3"/>
    <n v="3"/>
    <n v="10"/>
    <n v="7"/>
    <n v="1"/>
    <n v="7"/>
    <x v="1"/>
    <x v="0"/>
  </r>
  <r>
    <n v="37"/>
    <s v="Yes"/>
    <s v="Travel_Rarely"/>
    <n v="1373"/>
    <s v="Research &amp; Development"/>
    <n v="2"/>
    <n v="2"/>
    <s v="Other"/>
    <n v="1"/>
    <n v="4"/>
    <n v="4"/>
    <s v="Male"/>
    <n v="92"/>
    <n v="2"/>
    <x v="1"/>
    <s v="Laboratory Technician"/>
    <n v="3"/>
    <s v="Single"/>
    <x v="2"/>
    <n v="2396"/>
    <n v="6"/>
    <s v="Y"/>
    <s v="Yes"/>
    <n v="15"/>
    <n v="3"/>
    <n v="2"/>
    <n v="80"/>
    <n v="0"/>
    <n v="7"/>
    <n v="3"/>
    <n v="3"/>
    <n v="0"/>
    <n v="0"/>
    <n v="0"/>
    <n v="0"/>
    <x v="0"/>
    <x v="1"/>
  </r>
  <r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x v="1"/>
    <s v="Research Scientist"/>
    <n v="3"/>
    <s v="Married"/>
    <x v="3"/>
    <n v="23159"/>
    <n v="1"/>
    <s v="Y"/>
    <s v="Yes"/>
    <n v="11"/>
    <n v="3"/>
    <n v="3"/>
    <n v="80"/>
    <n v="0"/>
    <n v="8"/>
    <n v="3"/>
    <n v="3"/>
    <n v="8"/>
    <n v="7"/>
    <n v="3"/>
    <n v="0"/>
    <x v="2"/>
    <x v="1"/>
  </r>
  <r>
    <n v="27"/>
    <s v="No"/>
    <s v="Travel_Rarely"/>
    <n v="591"/>
    <s v="Research &amp; Development"/>
    <n v="2"/>
    <n v="1"/>
    <s v="Medical"/>
    <n v="1"/>
    <n v="7"/>
    <n v="1"/>
    <s v="Male"/>
    <n v="40"/>
    <n v="3"/>
    <x v="1"/>
    <s v="Laboratory Technician"/>
    <n v="2"/>
    <s v="Married"/>
    <x v="4"/>
    <n v="16632"/>
    <n v="9"/>
    <s v="Y"/>
    <s v="No"/>
    <n v="12"/>
    <n v="3"/>
    <n v="4"/>
    <n v="80"/>
    <n v="1"/>
    <n v="6"/>
    <n v="3"/>
    <n v="3"/>
    <n v="2"/>
    <n v="2"/>
    <n v="2"/>
    <n v="2"/>
    <x v="2"/>
    <x v="0"/>
  </r>
  <r>
    <n v="32"/>
    <s v="No"/>
    <s v="Travel_Frequently"/>
    <n v="1005"/>
    <s v="Research &amp; Development"/>
    <n v="2"/>
    <n v="2"/>
    <s v="Life Sciences"/>
    <n v="1"/>
    <n v="8"/>
    <n v="4"/>
    <s v="Male"/>
    <n v="79"/>
    <n v="3"/>
    <x v="1"/>
    <s v="Laboratory Technician"/>
    <n v="4"/>
    <s v="Single"/>
    <x v="5"/>
    <n v="11864"/>
    <n v="0"/>
    <s v="Y"/>
    <s v="No"/>
    <n v="13"/>
    <n v="3"/>
    <n v="3"/>
    <n v="80"/>
    <n v="0"/>
    <n v="8"/>
    <n v="2"/>
    <n v="2"/>
    <n v="7"/>
    <n v="7"/>
    <n v="3"/>
    <n v="6"/>
    <x v="2"/>
    <x v="0"/>
  </r>
  <r>
    <n v="59"/>
    <s v="No"/>
    <s v="Travel_Rarely"/>
    <n v="1324"/>
    <s v="Research &amp; Development"/>
    <n v="3"/>
    <n v="3"/>
    <s v="Medical"/>
    <n v="1"/>
    <n v="10"/>
    <n v="3"/>
    <s v="Female"/>
    <n v="81"/>
    <n v="4"/>
    <x v="1"/>
    <s v="Laboratory Technician"/>
    <n v="1"/>
    <s v="Married"/>
    <x v="6"/>
    <n v="9964"/>
    <n v="4"/>
    <s v="Y"/>
    <s v="Yes"/>
    <n v="20"/>
    <n v="4"/>
    <n v="1"/>
    <n v="80"/>
    <n v="3"/>
    <n v="12"/>
    <n v="3"/>
    <n v="2"/>
    <n v="1"/>
    <n v="0"/>
    <n v="0"/>
    <n v="0"/>
    <x v="3"/>
    <x v="1"/>
  </r>
  <r>
    <n v="30"/>
    <s v="No"/>
    <s v="Travel_Rarely"/>
    <n v="1358"/>
    <s v="Research &amp; Development"/>
    <n v="24"/>
    <n v="1"/>
    <s v="Life Sciences"/>
    <n v="1"/>
    <n v="11"/>
    <n v="4"/>
    <s v="Male"/>
    <n v="67"/>
    <n v="3"/>
    <x v="1"/>
    <s v="Laboratory Technician"/>
    <n v="3"/>
    <s v="Divorced"/>
    <x v="7"/>
    <n v="13335"/>
    <n v="1"/>
    <s v="Y"/>
    <s v="No"/>
    <n v="22"/>
    <n v="4"/>
    <n v="2"/>
    <n v="80"/>
    <n v="1"/>
    <n v="1"/>
    <n v="2"/>
    <n v="3"/>
    <n v="1"/>
    <n v="0"/>
    <n v="0"/>
    <n v="0"/>
    <x v="2"/>
    <x v="1"/>
  </r>
  <r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x v="2"/>
    <s v="Manufacturing Director"/>
    <n v="3"/>
    <s v="Single"/>
    <x v="8"/>
    <n v="8787"/>
    <n v="0"/>
    <s v="Y"/>
    <s v="No"/>
    <n v="21"/>
    <n v="4"/>
    <n v="2"/>
    <n v="80"/>
    <n v="0"/>
    <n v="10"/>
    <n v="2"/>
    <n v="3"/>
    <n v="9"/>
    <n v="7"/>
    <n v="1"/>
    <n v="8"/>
    <x v="0"/>
    <x v="2"/>
  </r>
  <r>
    <n v="36"/>
    <s v="No"/>
    <s v="Travel_Rarely"/>
    <n v="1299"/>
    <s v="Research &amp; Development"/>
    <n v="27"/>
    <n v="3"/>
    <s v="Medical"/>
    <n v="1"/>
    <n v="13"/>
    <n v="3"/>
    <s v="Male"/>
    <n v="94"/>
    <n v="3"/>
    <x v="0"/>
    <s v="Healthcare Representative"/>
    <n v="3"/>
    <s v="Married"/>
    <x v="9"/>
    <n v="16577"/>
    <n v="6"/>
    <s v="Y"/>
    <s v="No"/>
    <n v="13"/>
    <n v="3"/>
    <n v="2"/>
    <n v="80"/>
    <n v="2"/>
    <n v="17"/>
    <n v="3"/>
    <n v="2"/>
    <n v="7"/>
    <n v="7"/>
    <n v="7"/>
    <n v="7"/>
    <x v="0"/>
    <x v="0"/>
  </r>
  <r>
    <n v="35"/>
    <s v="No"/>
    <s v="Travel_Rarely"/>
    <n v="809"/>
    <s v="Research &amp; Development"/>
    <n v="16"/>
    <n v="3"/>
    <s v="Medical"/>
    <n v="1"/>
    <n v="14"/>
    <n v="1"/>
    <s v="Male"/>
    <n v="84"/>
    <n v="4"/>
    <x v="1"/>
    <s v="Laboratory Technician"/>
    <n v="2"/>
    <s v="Married"/>
    <x v="10"/>
    <n v="16479"/>
    <n v="0"/>
    <s v="Y"/>
    <s v="No"/>
    <n v="13"/>
    <n v="3"/>
    <n v="3"/>
    <n v="80"/>
    <n v="1"/>
    <n v="6"/>
    <n v="5"/>
    <n v="3"/>
    <n v="5"/>
    <n v="4"/>
    <n v="0"/>
    <n v="3"/>
    <x v="2"/>
    <x v="1"/>
  </r>
  <r>
    <n v="29"/>
    <s v="No"/>
    <s v="Travel_Rarely"/>
    <n v="153"/>
    <s v="Research &amp; Development"/>
    <n v="15"/>
    <n v="2"/>
    <s v="Life Sciences"/>
    <n v="1"/>
    <n v="15"/>
    <n v="4"/>
    <s v="Female"/>
    <n v="49"/>
    <n v="2"/>
    <x v="0"/>
    <s v="Laboratory Technician"/>
    <n v="3"/>
    <s v="Single"/>
    <x v="11"/>
    <n v="12682"/>
    <n v="0"/>
    <s v="Y"/>
    <s v="Yes"/>
    <n v="12"/>
    <n v="3"/>
    <n v="4"/>
    <n v="80"/>
    <n v="0"/>
    <n v="10"/>
    <n v="3"/>
    <n v="3"/>
    <n v="9"/>
    <n v="5"/>
    <n v="0"/>
    <n v="8"/>
    <x v="2"/>
    <x v="0"/>
  </r>
  <r>
    <n v="31"/>
    <s v="No"/>
    <s v="Travel_Rarely"/>
    <n v="670"/>
    <s v="Research &amp; Development"/>
    <n v="26"/>
    <n v="1"/>
    <s v="Life Sciences"/>
    <n v="1"/>
    <n v="16"/>
    <n v="1"/>
    <s v="Male"/>
    <n v="31"/>
    <n v="3"/>
    <x v="1"/>
    <s v="Research Scientist"/>
    <n v="3"/>
    <s v="Divorced"/>
    <x v="12"/>
    <n v="15170"/>
    <n v="1"/>
    <s v="Y"/>
    <s v="No"/>
    <n v="17"/>
    <n v="3"/>
    <n v="4"/>
    <n v="80"/>
    <n v="1"/>
    <n v="5"/>
    <n v="1"/>
    <n v="2"/>
    <n v="5"/>
    <n v="2"/>
    <n v="4"/>
    <n v="3"/>
    <x v="2"/>
    <x v="1"/>
  </r>
  <r>
    <n v="34"/>
    <s v="No"/>
    <s v="Travel_Rarely"/>
    <n v="1346"/>
    <s v="Research &amp; Development"/>
    <n v="19"/>
    <n v="2"/>
    <s v="Medical"/>
    <n v="1"/>
    <n v="18"/>
    <n v="2"/>
    <s v="Male"/>
    <n v="93"/>
    <n v="3"/>
    <x v="1"/>
    <s v="Laboratory Technician"/>
    <n v="4"/>
    <s v="Divorced"/>
    <x v="13"/>
    <n v="8758"/>
    <n v="0"/>
    <s v="Y"/>
    <s v="No"/>
    <n v="11"/>
    <n v="3"/>
    <n v="3"/>
    <n v="80"/>
    <n v="1"/>
    <n v="3"/>
    <n v="2"/>
    <n v="3"/>
    <n v="2"/>
    <n v="2"/>
    <n v="1"/>
    <n v="2"/>
    <x v="2"/>
    <x v="1"/>
  </r>
  <r>
    <n v="28"/>
    <s v="Yes"/>
    <s v="Travel_Rarely"/>
    <n v="103"/>
    <s v="Research &amp; Development"/>
    <n v="24"/>
    <n v="3"/>
    <s v="Life Sciences"/>
    <n v="1"/>
    <n v="19"/>
    <n v="3"/>
    <s v="Male"/>
    <n v="50"/>
    <n v="2"/>
    <x v="1"/>
    <s v="Laboratory Technician"/>
    <n v="3"/>
    <s v="Single"/>
    <x v="14"/>
    <n v="12947"/>
    <n v="5"/>
    <s v="Y"/>
    <s v="Yes"/>
    <n v="14"/>
    <n v="3"/>
    <n v="2"/>
    <n v="80"/>
    <n v="0"/>
    <n v="6"/>
    <n v="4"/>
    <n v="3"/>
    <n v="4"/>
    <n v="2"/>
    <n v="0"/>
    <n v="3"/>
    <x v="2"/>
    <x v="1"/>
  </r>
  <r>
    <n v="29"/>
    <s v="No"/>
    <s v="Travel_Rarely"/>
    <n v="1389"/>
    <s v="Research &amp; Development"/>
    <n v="21"/>
    <n v="4"/>
    <s v="Life Sciences"/>
    <n v="1"/>
    <n v="20"/>
    <n v="2"/>
    <s v="Female"/>
    <n v="51"/>
    <n v="4"/>
    <x v="2"/>
    <s v="Manufacturing Director"/>
    <n v="1"/>
    <s v="Divorced"/>
    <x v="15"/>
    <n v="10195"/>
    <n v="1"/>
    <s v="Y"/>
    <s v="No"/>
    <n v="11"/>
    <n v="3"/>
    <n v="3"/>
    <n v="80"/>
    <n v="1"/>
    <n v="10"/>
    <n v="1"/>
    <n v="3"/>
    <n v="10"/>
    <n v="9"/>
    <n v="8"/>
    <n v="8"/>
    <x v="2"/>
    <x v="2"/>
  </r>
  <r>
    <n v="32"/>
    <s v="No"/>
    <s v="Travel_Rarely"/>
    <n v="334"/>
    <s v="Research &amp; Development"/>
    <n v="5"/>
    <n v="2"/>
    <s v="Life Sciences"/>
    <n v="1"/>
    <n v="21"/>
    <n v="1"/>
    <s v="Male"/>
    <n v="80"/>
    <n v="4"/>
    <x v="1"/>
    <s v="Research Scientist"/>
    <n v="2"/>
    <s v="Divorced"/>
    <x v="16"/>
    <n v="15053"/>
    <n v="0"/>
    <s v="Y"/>
    <s v="Yes"/>
    <n v="12"/>
    <n v="3"/>
    <n v="4"/>
    <n v="80"/>
    <n v="2"/>
    <n v="7"/>
    <n v="5"/>
    <n v="2"/>
    <n v="6"/>
    <n v="2"/>
    <n v="0"/>
    <n v="5"/>
    <x v="2"/>
    <x v="0"/>
  </r>
  <r>
    <n v="22"/>
    <s v="No"/>
    <s v="Non-Travel"/>
    <n v="1123"/>
    <s v="Research &amp; Development"/>
    <n v="16"/>
    <n v="2"/>
    <s v="Medical"/>
    <n v="1"/>
    <n v="22"/>
    <n v="4"/>
    <s v="Male"/>
    <n v="96"/>
    <n v="4"/>
    <x v="1"/>
    <s v="Laboratory Technician"/>
    <n v="4"/>
    <s v="Divorced"/>
    <x v="17"/>
    <n v="7324"/>
    <n v="1"/>
    <s v="Y"/>
    <s v="Yes"/>
    <n v="13"/>
    <n v="3"/>
    <n v="2"/>
    <n v="80"/>
    <n v="2"/>
    <n v="1"/>
    <n v="2"/>
    <n v="2"/>
    <n v="1"/>
    <n v="0"/>
    <n v="0"/>
    <n v="0"/>
    <x v="4"/>
    <x v="1"/>
  </r>
  <r>
    <n v="53"/>
    <s v="No"/>
    <s v="Travel_Rarely"/>
    <n v="1219"/>
    <s v="Sales"/>
    <n v="2"/>
    <n v="4"/>
    <s v="Life Sciences"/>
    <n v="1"/>
    <n v="23"/>
    <n v="1"/>
    <s v="Female"/>
    <n v="78"/>
    <n v="2"/>
    <x v="3"/>
    <s v="Manager"/>
    <n v="4"/>
    <s v="Married"/>
    <x v="18"/>
    <n v="22021"/>
    <n v="2"/>
    <s v="Y"/>
    <s v="No"/>
    <n v="16"/>
    <n v="3"/>
    <n v="3"/>
    <n v="80"/>
    <n v="0"/>
    <n v="31"/>
    <n v="3"/>
    <n v="3"/>
    <n v="25"/>
    <n v="8"/>
    <n v="3"/>
    <n v="7"/>
    <x v="1"/>
    <x v="3"/>
  </r>
  <r>
    <n v="38"/>
    <s v="No"/>
    <s v="Travel_Rarely"/>
    <n v="371"/>
    <s v="Research &amp; Development"/>
    <n v="2"/>
    <n v="3"/>
    <s v="Life Sciences"/>
    <n v="1"/>
    <n v="24"/>
    <n v="4"/>
    <s v="Male"/>
    <n v="45"/>
    <n v="3"/>
    <x v="1"/>
    <s v="Research Scientist"/>
    <n v="4"/>
    <s v="Single"/>
    <x v="19"/>
    <n v="4306"/>
    <n v="5"/>
    <s v="Y"/>
    <s v="Yes"/>
    <n v="11"/>
    <n v="3"/>
    <n v="3"/>
    <n v="80"/>
    <n v="0"/>
    <n v="6"/>
    <n v="3"/>
    <n v="3"/>
    <n v="3"/>
    <n v="2"/>
    <n v="1"/>
    <n v="2"/>
    <x v="0"/>
    <x v="0"/>
  </r>
  <r>
    <n v="24"/>
    <s v="No"/>
    <s v="Non-Travel"/>
    <n v="673"/>
    <s v="Research &amp; Development"/>
    <n v="11"/>
    <n v="2"/>
    <s v="Other"/>
    <n v="1"/>
    <n v="26"/>
    <n v="1"/>
    <s v="Female"/>
    <n v="96"/>
    <n v="4"/>
    <x v="0"/>
    <s v="Manufacturing Director"/>
    <n v="3"/>
    <s v="Divorced"/>
    <x v="20"/>
    <n v="8232"/>
    <n v="0"/>
    <s v="Y"/>
    <s v="No"/>
    <n v="18"/>
    <n v="3"/>
    <n v="4"/>
    <n v="80"/>
    <n v="1"/>
    <n v="5"/>
    <n v="5"/>
    <n v="2"/>
    <n v="4"/>
    <n v="2"/>
    <n v="1"/>
    <n v="3"/>
    <x v="4"/>
    <x v="0"/>
  </r>
  <r>
    <n v="36"/>
    <s v="Yes"/>
    <s v="Travel_Rarely"/>
    <n v="1218"/>
    <s v="Sales"/>
    <n v="9"/>
    <n v="4"/>
    <s v="Life Sciences"/>
    <n v="1"/>
    <n v="27"/>
    <n v="3"/>
    <s v="Male"/>
    <n v="82"/>
    <n v="2"/>
    <x v="1"/>
    <s v="Sales Representative"/>
    <n v="1"/>
    <s v="Single"/>
    <x v="21"/>
    <n v="6986"/>
    <n v="7"/>
    <s v="Y"/>
    <s v="No"/>
    <n v="23"/>
    <n v="4"/>
    <n v="2"/>
    <n v="80"/>
    <n v="0"/>
    <n v="10"/>
    <n v="4"/>
    <n v="3"/>
    <n v="5"/>
    <n v="3"/>
    <n v="0"/>
    <n v="3"/>
    <x v="0"/>
    <x v="0"/>
  </r>
  <r>
    <n v="34"/>
    <s v="No"/>
    <s v="Travel_Rarely"/>
    <n v="419"/>
    <s v="Research &amp; Development"/>
    <n v="7"/>
    <n v="4"/>
    <s v="Life Sciences"/>
    <n v="1"/>
    <n v="28"/>
    <n v="1"/>
    <s v="Female"/>
    <n v="53"/>
    <n v="3"/>
    <x v="2"/>
    <s v="Research Director"/>
    <n v="2"/>
    <s v="Single"/>
    <x v="22"/>
    <n v="21293"/>
    <n v="0"/>
    <s v="Y"/>
    <s v="No"/>
    <n v="11"/>
    <n v="3"/>
    <n v="3"/>
    <n v="80"/>
    <n v="0"/>
    <n v="13"/>
    <n v="4"/>
    <n v="3"/>
    <n v="12"/>
    <n v="6"/>
    <n v="2"/>
    <n v="11"/>
    <x v="2"/>
    <x v="2"/>
  </r>
  <r>
    <n v="21"/>
    <s v="No"/>
    <s v="Travel_Rarely"/>
    <n v="391"/>
    <s v="Research &amp; Development"/>
    <n v="15"/>
    <n v="2"/>
    <s v="Life Sciences"/>
    <n v="1"/>
    <n v="30"/>
    <n v="3"/>
    <s v="Male"/>
    <n v="96"/>
    <n v="3"/>
    <x v="1"/>
    <s v="Research Scientist"/>
    <n v="4"/>
    <s v="Single"/>
    <x v="23"/>
    <n v="19281"/>
    <n v="1"/>
    <s v="Y"/>
    <s v="No"/>
    <n v="14"/>
    <n v="3"/>
    <n v="4"/>
    <n v="80"/>
    <n v="0"/>
    <n v="0"/>
    <n v="6"/>
    <n v="3"/>
    <n v="0"/>
    <n v="0"/>
    <n v="0"/>
    <n v="0"/>
    <x v="4"/>
    <x v="1"/>
  </r>
  <r>
    <n v="34"/>
    <s v="Yes"/>
    <s v="Travel_Rarely"/>
    <n v="699"/>
    <s v="Research &amp; Development"/>
    <n v="6"/>
    <n v="1"/>
    <s v="Medical"/>
    <n v="1"/>
    <n v="31"/>
    <n v="2"/>
    <s v="Male"/>
    <n v="83"/>
    <n v="3"/>
    <x v="1"/>
    <s v="Research Scientist"/>
    <n v="1"/>
    <s v="Single"/>
    <x v="24"/>
    <n v="17102"/>
    <n v="2"/>
    <s v="Y"/>
    <s v="No"/>
    <n v="11"/>
    <n v="3"/>
    <n v="3"/>
    <n v="80"/>
    <n v="0"/>
    <n v="8"/>
    <n v="2"/>
    <n v="3"/>
    <n v="4"/>
    <n v="2"/>
    <n v="1"/>
    <n v="3"/>
    <x v="2"/>
    <x v="1"/>
  </r>
  <r>
    <n v="53"/>
    <s v="No"/>
    <s v="Travel_Rarely"/>
    <n v="1282"/>
    <s v="Research &amp; Development"/>
    <n v="5"/>
    <n v="3"/>
    <s v="Other"/>
    <n v="1"/>
    <n v="32"/>
    <n v="3"/>
    <s v="Female"/>
    <n v="58"/>
    <n v="3"/>
    <x v="4"/>
    <s v="Manager"/>
    <n v="3"/>
    <s v="Divorced"/>
    <x v="25"/>
    <n v="10735"/>
    <n v="4"/>
    <s v="Y"/>
    <s v="No"/>
    <n v="11"/>
    <n v="3"/>
    <n v="4"/>
    <n v="80"/>
    <n v="1"/>
    <n v="26"/>
    <n v="3"/>
    <n v="2"/>
    <n v="14"/>
    <n v="13"/>
    <n v="4"/>
    <n v="8"/>
    <x v="1"/>
    <x v="3"/>
  </r>
  <r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x v="1"/>
    <s v="Research Scientist"/>
    <n v="1"/>
    <s v="Single"/>
    <x v="26"/>
    <n v="4681"/>
    <n v="1"/>
    <s v="Y"/>
    <s v="Yes"/>
    <n v="22"/>
    <n v="4"/>
    <n v="2"/>
    <n v="80"/>
    <n v="0"/>
    <n v="10"/>
    <n v="5"/>
    <n v="3"/>
    <n v="10"/>
    <n v="2"/>
    <n v="6"/>
    <n v="7"/>
    <x v="2"/>
    <x v="0"/>
  </r>
  <r>
    <n v="42"/>
    <s v="No"/>
    <s v="Travel_Rarely"/>
    <n v="691"/>
    <s v="Sales"/>
    <n v="8"/>
    <n v="4"/>
    <s v="Marketing"/>
    <n v="1"/>
    <n v="35"/>
    <n v="3"/>
    <s v="Male"/>
    <n v="48"/>
    <n v="3"/>
    <x v="0"/>
    <s v="Sales Executive"/>
    <n v="2"/>
    <s v="Married"/>
    <x v="27"/>
    <n v="21173"/>
    <n v="0"/>
    <s v="Y"/>
    <s v="No"/>
    <n v="11"/>
    <n v="3"/>
    <n v="4"/>
    <n v="80"/>
    <n v="1"/>
    <n v="10"/>
    <n v="2"/>
    <n v="3"/>
    <n v="9"/>
    <n v="7"/>
    <n v="4"/>
    <n v="2"/>
    <x v="0"/>
    <x v="0"/>
  </r>
  <r>
    <n v="44"/>
    <s v="No"/>
    <s v="Travel_Rarely"/>
    <n v="477"/>
    <s v="Research &amp; Development"/>
    <n v="7"/>
    <n v="4"/>
    <s v="Medical"/>
    <n v="1"/>
    <n v="36"/>
    <n v="1"/>
    <s v="Female"/>
    <n v="42"/>
    <n v="2"/>
    <x v="2"/>
    <s v="Healthcare Representative"/>
    <n v="4"/>
    <s v="Married"/>
    <x v="28"/>
    <n v="2094"/>
    <n v="3"/>
    <s v="Y"/>
    <s v="No"/>
    <n v="14"/>
    <n v="3"/>
    <n v="4"/>
    <n v="80"/>
    <n v="1"/>
    <n v="24"/>
    <n v="4"/>
    <n v="3"/>
    <n v="22"/>
    <n v="6"/>
    <n v="5"/>
    <n v="17"/>
    <x v="0"/>
    <x v="2"/>
  </r>
  <r>
    <n v="46"/>
    <s v="No"/>
    <s v="Travel_Rarely"/>
    <n v="705"/>
    <s v="Sales"/>
    <n v="2"/>
    <n v="4"/>
    <s v="Marketing"/>
    <n v="1"/>
    <n v="38"/>
    <n v="2"/>
    <s v="Female"/>
    <n v="83"/>
    <n v="3"/>
    <x v="4"/>
    <s v="Manager"/>
    <n v="1"/>
    <s v="Single"/>
    <x v="29"/>
    <n v="22822"/>
    <n v="3"/>
    <s v="Y"/>
    <s v="No"/>
    <n v="12"/>
    <n v="3"/>
    <n v="4"/>
    <n v="80"/>
    <n v="0"/>
    <n v="22"/>
    <n v="2"/>
    <n v="2"/>
    <n v="2"/>
    <n v="2"/>
    <n v="2"/>
    <n v="1"/>
    <x v="1"/>
    <x v="3"/>
  </r>
  <r>
    <n v="33"/>
    <s v="No"/>
    <s v="Travel_Rarely"/>
    <n v="924"/>
    <s v="Research &amp; Development"/>
    <n v="2"/>
    <n v="3"/>
    <s v="Medical"/>
    <n v="1"/>
    <n v="39"/>
    <n v="3"/>
    <s v="Male"/>
    <n v="78"/>
    <n v="3"/>
    <x v="1"/>
    <s v="Laboratory Technician"/>
    <n v="4"/>
    <s v="Single"/>
    <x v="30"/>
    <n v="6670"/>
    <n v="4"/>
    <s v="Y"/>
    <s v="No"/>
    <n v="11"/>
    <n v="3"/>
    <n v="4"/>
    <n v="80"/>
    <n v="0"/>
    <n v="7"/>
    <n v="3"/>
    <n v="3"/>
    <n v="1"/>
    <n v="1"/>
    <n v="0"/>
    <n v="0"/>
    <x v="2"/>
    <x v="1"/>
  </r>
  <r>
    <n v="44"/>
    <s v="No"/>
    <s v="Travel_Rarely"/>
    <n v="1459"/>
    <s v="Research &amp; Development"/>
    <n v="10"/>
    <n v="4"/>
    <s v="Other"/>
    <n v="1"/>
    <n v="40"/>
    <n v="4"/>
    <s v="Male"/>
    <n v="41"/>
    <n v="3"/>
    <x v="0"/>
    <s v="Healthcare Representative"/>
    <n v="4"/>
    <s v="Married"/>
    <x v="31"/>
    <n v="19121"/>
    <n v="2"/>
    <s v="Y"/>
    <s v="Yes"/>
    <n v="13"/>
    <n v="3"/>
    <n v="4"/>
    <n v="80"/>
    <n v="0"/>
    <n v="9"/>
    <n v="5"/>
    <n v="4"/>
    <n v="4"/>
    <n v="2"/>
    <n v="1"/>
    <n v="3"/>
    <x v="0"/>
    <x v="0"/>
  </r>
  <r>
    <n v="30"/>
    <s v="No"/>
    <s v="Travel_Rarely"/>
    <n v="125"/>
    <s v="Research &amp; Development"/>
    <n v="9"/>
    <n v="2"/>
    <s v="Medical"/>
    <n v="1"/>
    <n v="41"/>
    <n v="4"/>
    <s v="Male"/>
    <n v="83"/>
    <n v="2"/>
    <x v="1"/>
    <s v="Laboratory Technician"/>
    <n v="3"/>
    <s v="Single"/>
    <x v="32"/>
    <n v="16117"/>
    <n v="1"/>
    <s v="Y"/>
    <s v="No"/>
    <n v="13"/>
    <n v="3"/>
    <n v="1"/>
    <n v="80"/>
    <n v="0"/>
    <n v="10"/>
    <n v="5"/>
    <n v="3"/>
    <n v="10"/>
    <n v="0"/>
    <n v="1"/>
    <n v="8"/>
    <x v="2"/>
    <x v="1"/>
  </r>
  <r>
    <n v="39"/>
    <s v="Yes"/>
    <s v="Travel_Rarely"/>
    <n v="895"/>
    <s v="Sales"/>
    <n v="5"/>
    <n v="3"/>
    <s v="Technical Degree"/>
    <n v="1"/>
    <n v="42"/>
    <n v="4"/>
    <s v="Male"/>
    <n v="56"/>
    <n v="3"/>
    <x v="0"/>
    <s v="Sales Representative"/>
    <n v="4"/>
    <s v="Married"/>
    <x v="33"/>
    <n v="3335"/>
    <n v="3"/>
    <s v="Y"/>
    <s v="No"/>
    <n v="14"/>
    <n v="3"/>
    <n v="3"/>
    <n v="80"/>
    <n v="1"/>
    <n v="19"/>
    <n v="6"/>
    <n v="4"/>
    <n v="1"/>
    <n v="0"/>
    <n v="0"/>
    <n v="0"/>
    <x v="0"/>
    <x v="1"/>
  </r>
  <r>
    <n v="24"/>
    <s v="Yes"/>
    <s v="Travel_Rarely"/>
    <n v="813"/>
    <s v="Research &amp; Development"/>
    <n v="1"/>
    <n v="3"/>
    <s v="Medical"/>
    <n v="1"/>
    <n v="45"/>
    <n v="2"/>
    <s v="Male"/>
    <n v="61"/>
    <n v="3"/>
    <x v="1"/>
    <s v="Research Scientist"/>
    <n v="4"/>
    <s v="Married"/>
    <x v="34"/>
    <n v="3020"/>
    <n v="2"/>
    <s v="Y"/>
    <s v="Yes"/>
    <n v="16"/>
    <n v="3"/>
    <n v="1"/>
    <n v="80"/>
    <n v="1"/>
    <n v="6"/>
    <n v="2"/>
    <n v="2"/>
    <n v="2"/>
    <n v="0"/>
    <n v="2"/>
    <n v="0"/>
    <x v="4"/>
    <x v="1"/>
  </r>
  <r>
    <n v="43"/>
    <s v="No"/>
    <s v="Travel_Rarely"/>
    <n v="1273"/>
    <s v="Research &amp; Development"/>
    <n v="2"/>
    <n v="2"/>
    <s v="Medical"/>
    <n v="1"/>
    <n v="46"/>
    <n v="4"/>
    <s v="Female"/>
    <n v="72"/>
    <n v="4"/>
    <x v="1"/>
    <s v="Research Scientist"/>
    <n v="3"/>
    <s v="Divorced"/>
    <x v="35"/>
    <n v="21923"/>
    <n v="1"/>
    <s v="Y"/>
    <s v="No"/>
    <n v="12"/>
    <n v="3"/>
    <n v="4"/>
    <n v="80"/>
    <n v="2"/>
    <n v="6"/>
    <n v="3"/>
    <n v="2"/>
    <n v="5"/>
    <n v="3"/>
    <n v="1"/>
    <n v="4"/>
    <x v="0"/>
    <x v="1"/>
  </r>
  <r>
    <n v="50"/>
    <s v="Yes"/>
    <s v="Travel_Rarely"/>
    <n v="869"/>
    <s v="Sales"/>
    <n v="3"/>
    <n v="2"/>
    <s v="Marketing"/>
    <n v="1"/>
    <n v="47"/>
    <n v="1"/>
    <s v="Male"/>
    <n v="86"/>
    <n v="2"/>
    <x v="1"/>
    <s v="Sales Representative"/>
    <n v="3"/>
    <s v="Married"/>
    <x v="36"/>
    <n v="3810"/>
    <n v="1"/>
    <s v="Y"/>
    <s v="Yes"/>
    <n v="14"/>
    <n v="3"/>
    <n v="3"/>
    <n v="80"/>
    <n v="0"/>
    <n v="3"/>
    <n v="2"/>
    <n v="3"/>
    <n v="3"/>
    <n v="2"/>
    <n v="0"/>
    <n v="2"/>
    <x v="1"/>
    <x v="1"/>
  </r>
  <r>
    <n v="35"/>
    <s v="No"/>
    <s v="Travel_Rarely"/>
    <n v="890"/>
    <s v="Sales"/>
    <n v="2"/>
    <n v="3"/>
    <s v="Marketing"/>
    <n v="1"/>
    <n v="49"/>
    <n v="4"/>
    <s v="Female"/>
    <n v="97"/>
    <n v="3"/>
    <x v="1"/>
    <s v="Sales Representative"/>
    <n v="4"/>
    <s v="Married"/>
    <x v="37"/>
    <n v="9687"/>
    <n v="1"/>
    <s v="Y"/>
    <s v="No"/>
    <n v="13"/>
    <n v="3"/>
    <n v="1"/>
    <n v="80"/>
    <n v="0"/>
    <n v="2"/>
    <n v="3"/>
    <n v="3"/>
    <n v="2"/>
    <n v="2"/>
    <n v="2"/>
    <n v="2"/>
    <x v="2"/>
    <x v="1"/>
  </r>
  <r>
    <n v="36"/>
    <s v="No"/>
    <s v="Travel_Rarely"/>
    <n v="852"/>
    <s v="Research &amp; Development"/>
    <n v="5"/>
    <n v="4"/>
    <s v="Life Sciences"/>
    <n v="1"/>
    <n v="51"/>
    <n v="2"/>
    <s v="Female"/>
    <n v="82"/>
    <n v="2"/>
    <x v="1"/>
    <s v="Research Scientist"/>
    <n v="1"/>
    <s v="Married"/>
    <x v="38"/>
    <n v="13072"/>
    <n v="9"/>
    <s v="Y"/>
    <s v="Yes"/>
    <n v="14"/>
    <n v="3"/>
    <n v="4"/>
    <n v="80"/>
    <n v="1"/>
    <n v="6"/>
    <n v="3"/>
    <n v="4"/>
    <n v="1"/>
    <n v="1"/>
    <n v="0"/>
    <n v="0"/>
    <x v="0"/>
    <x v="0"/>
  </r>
  <r>
    <n v="33"/>
    <s v="No"/>
    <s v="Travel_Frequently"/>
    <n v="1141"/>
    <s v="Sales"/>
    <n v="1"/>
    <n v="3"/>
    <s v="Life Sciences"/>
    <n v="1"/>
    <n v="52"/>
    <n v="3"/>
    <s v="Female"/>
    <n v="42"/>
    <n v="4"/>
    <x v="0"/>
    <s v="Sales Executive"/>
    <n v="1"/>
    <s v="Married"/>
    <x v="39"/>
    <n v="3193"/>
    <n v="2"/>
    <s v="Y"/>
    <s v="No"/>
    <n v="19"/>
    <n v="3"/>
    <n v="1"/>
    <n v="80"/>
    <n v="2"/>
    <n v="10"/>
    <n v="3"/>
    <n v="3"/>
    <n v="5"/>
    <n v="3"/>
    <n v="1"/>
    <n v="3"/>
    <x v="2"/>
    <x v="0"/>
  </r>
  <r>
    <n v="35"/>
    <s v="No"/>
    <s v="Travel_Rarely"/>
    <n v="464"/>
    <s v="Research &amp; Development"/>
    <n v="4"/>
    <n v="2"/>
    <s v="Other"/>
    <n v="1"/>
    <n v="53"/>
    <n v="3"/>
    <s v="Male"/>
    <n v="75"/>
    <n v="3"/>
    <x v="1"/>
    <s v="Laboratory Technician"/>
    <n v="4"/>
    <s v="Divorced"/>
    <x v="40"/>
    <n v="10910"/>
    <n v="1"/>
    <s v="Y"/>
    <s v="No"/>
    <n v="12"/>
    <n v="3"/>
    <n v="3"/>
    <n v="80"/>
    <n v="1"/>
    <n v="1"/>
    <n v="3"/>
    <n v="3"/>
    <n v="1"/>
    <n v="0"/>
    <n v="0"/>
    <n v="0"/>
    <x v="2"/>
    <x v="1"/>
  </r>
  <r>
    <n v="27"/>
    <s v="No"/>
    <s v="Travel_Rarely"/>
    <n v="1240"/>
    <s v="Research &amp; Development"/>
    <n v="2"/>
    <n v="4"/>
    <s v="Life Sciences"/>
    <n v="1"/>
    <n v="54"/>
    <n v="4"/>
    <s v="Female"/>
    <n v="33"/>
    <n v="3"/>
    <x v="1"/>
    <s v="Laboratory Technician"/>
    <n v="1"/>
    <s v="Divorced"/>
    <x v="41"/>
    <n v="19715"/>
    <n v="1"/>
    <s v="Y"/>
    <s v="No"/>
    <n v="13"/>
    <n v="3"/>
    <n v="4"/>
    <n v="80"/>
    <n v="1"/>
    <n v="1"/>
    <n v="6"/>
    <n v="3"/>
    <n v="1"/>
    <n v="0"/>
    <n v="0"/>
    <n v="0"/>
    <x v="2"/>
    <x v="1"/>
  </r>
  <r>
    <n v="26"/>
    <s v="Yes"/>
    <s v="Travel_Rarely"/>
    <n v="1357"/>
    <s v="Research &amp; Development"/>
    <n v="25"/>
    <n v="3"/>
    <s v="Life Sciences"/>
    <n v="1"/>
    <n v="55"/>
    <n v="1"/>
    <s v="Male"/>
    <n v="48"/>
    <n v="1"/>
    <x v="1"/>
    <s v="Laboratory Technician"/>
    <n v="3"/>
    <s v="Single"/>
    <x v="34"/>
    <n v="10558"/>
    <n v="1"/>
    <s v="Y"/>
    <s v="No"/>
    <n v="12"/>
    <n v="3"/>
    <n v="3"/>
    <n v="80"/>
    <n v="0"/>
    <n v="1"/>
    <n v="2"/>
    <n v="2"/>
    <n v="1"/>
    <n v="0"/>
    <n v="0"/>
    <n v="1"/>
    <x v="2"/>
    <x v="1"/>
  </r>
  <r>
    <n v="27"/>
    <s v="No"/>
    <s v="Travel_Frequently"/>
    <n v="994"/>
    <s v="Sales"/>
    <n v="8"/>
    <n v="3"/>
    <s v="Life Sciences"/>
    <n v="1"/>
    <n v="56"/>
    <n v="4"/>
    <s v="Male"/>
    <n v="37"/>
    <n v="3"/>
    <x v="2"/>
    <s v="Sales Executive"/>
    <n v="3"/>
    <s v="Single"/>
    <x v="42"/>
    <n v="2975"/>
    <n v="1"/>
    <s v="Y"/>
    <s v="No"/>
    <n v="15"/>
    <n v="3"/>
    <n v="4"/>
    <n v="80"/>
    <n v="0"/>
    <n v="9"/>
    <n v="0"/>
    <n v="3"/>
    <n v="9"/>
    <n v="8"/>
    <n v="1"/>
    <n v="7"/>
    <x v="2"/>
    <x v="2"/>
  </r>
  <r>
    <n v="30"/>
    <s v="No"/>
    <s v="Travel_Frequently"/>
    <n v="721"/>
    <s v="Research &amp; Development"/>
    <n v="1"/>
    <n v="2"/>
    <s v="Medical"/>
    <n v="1"/>
    <n v="57"/>
    <n v="3"/>
    <s v="Female"/>
    <n v="58"/>
    <n v="3"/>
    <x v="0"/>
    <s v="Laboratory Technician"/>
    <n v="4"/>
    <s v="Single"/>
    <x v="20"/>
    <n v="10781"/>
    <n v="1"/>
    <s v="Y"/>
    <s v="No"/>
    <n v="23"/>
    <n v="4"/>
    <n v="4"/>
    <n v="80"/>
    <n v="0"/>
    <n v="12"/>
    <n v="2"/>
    <n v="3"/>
    <n v="12"/>
    <n v="8"/>
    <n v="3"/>
    <n v="7"/>
    <x v="2"/>
    <x v="0"/>
  </r>
  <r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x v="4"/>
    <s v="Research Director"/>
    <n v="3"/>
    <s v="Married"/>
    <x v="43"/>
    <n v="16280"/>
    <n v="1"/>
    <s v="Y"/>
    <s v="No"/>
    <n v="12"/>
    <n v="3"/>
    <n v="4"/>
    <n v="80"/>
    <n v="0"/>
    <n v="23"/>
    <n v="0"/>
    <n v="3"/>
    <n v="22"/>
    <n v="15"/>
    <n v="15"/>
    <n v="8"/>
    <x v="0"/>
    <x v="3"/>
  </r>
  <r>
    <n v="34"/>
    <s v="No"/>
    <s v="Non-Travel"/>
    <n v="1065"/>
    <s v="Sales"/>
    <n v="23"/>
    <n v="4"/>
    <s v="Marketing"/>
    <n v="1"/>
    <n v="60"/>
    <n v="2"/>
    <s v="Male"/>
    <n v="72"/>
    <n v="3"/>
    <x v="0"/>
    <s v="Sales Executive"/>
    <n v="3"/>
    <s v="Single"/>
    <x v="44"/>
    <n v="10034"/>
    <n v="0"/>
    <s v="Y"/>
    <s v="No"/>
    <n v="20"/>
    <n v="4"/>
    <n v="3"/>
    <n v="80"/>
    <n v="0"/>
    <n v="10"/>
    <n v="2"/>
    <n v="3"/>
    <n v="9"/>
    <n v="5"/>
    <n v="8"/>
    <n v="7"/>
    <x v="2"/>
    <x v="0"/>
  </r>
  <r>
    <n v="37"/>
    <s v="No"/>
    <s v="Travel_Rarely"/>
    <n v="408"/>
    <s v="Research &amp; Development"/>
    <n v="19"/>
    <n v="2"/>
    <s v="Life Sciences"/>
    <n v="1"/>
    <n v="61"/>
    <n v="2"/>
    <s v="Male"/>
    <n v="73"/>
    <n v="3"/>
    <x v="1"/>
    <s v="Research Scientist"/>
    <n v="2"/>
    <s v="Married"/>
    <x v="45"/>
    <n v="10227"/>
    <n v="4"/>
    <s v="Y"/>
    <s v="No"/>
    <n v="21"/>
    <n v="4"/>
    <n v="1"/>
    <n v="80"/>
    <n v="0"/>
    <n v="8"/>
    <n v="1"/>
    <n v="3"/>
    <n v="1"/>
    <n v="0"/>
    <n v="0"/>
    <n v="0"/>
    <x v="0"/>
    <x v="0"/>
  </r>
  <r>
    <n v="46"/>
    <s v="No"/>
    <s v="Travel_Frequently"/>
    <n v="1211"/>
    <s v="Sales"/>
    <n v="5"/>
    <n v="4"/>
    <s v="Marketing"/>
    <n v="1"/>
    <n v="62"/>
    <n v="1"/>
    <s v="Male"/>
    <n v="98"/>
    <n v="3"/>
    <x v="0"/>
    <s v="Sales Executive"/>
    <n v="4"/>
    <s v="Single"/>
    <x v="46"/>
    <n v="20445"/>
    <n v="4"/>
    <s v="Y"/>
    <s v="Yes"/>
    <n v="21"/>
    <n v="4"/>
    <n v="3"/>
    <n v="80"/>
    <n v="0"/>
    <n v="14"/>
    <n v="4"/>
    <n v="3"/>
    <n v="9"/>
    <n v="6"/>
    <n v="0"/>
    <n v="8"/>
    <x v="1"/>
    <x v="0"/>
  </r>
  <r>
    <n v="35"/>
    <s v="No"/>
    <s v="Travel_Rarely"/>
    <n v="1229"/>
    <s v="Research &amp; Development"/>
    <n v="8"/>
    <n v="1"/>
    <s v="Life Sciences"/>
    <n v="1"/>
    <n v="63"/>
    <n v="4"/>
    <s v="Male"/>
    <n v="36"/>
    <n v="4"/>
    <x v="1"/>
    <s v="Laboratory Technician"/>
    <n v="4"/>
    <s v="Married"/>
    <x v="47"/>
    <n v="4892"/>
    <n v="1"/>
    <s v="Y"/>
    <s v="No"/>
    <n v="19"/>
    <n v="3"/>
    <n v="4"/>
    <n v="80"/>
    <n v="0"/>
    <n v="1"/>
    <n v="2"/>
    <n v="3"/>
    <n v="1"/>
    <n v="0"/>
    <n v="0"/>
    <n v="1"/>
    <x v="2"/>
    <x v="1"/>
  </r>
  <r>
    <n v="48"/>
    <s v="Yes"/>
    <s v="Travel_Rarely"/>
    <n v="626"/>
    <s v="Research &amp; Development"/>
    <n v="1"/>
    <n v="2"/>
    <s v="Life Sciences"/>
    <n v="1"/>
    <n v="64"/>
    <n v="1"/>
    <s v="Male"/>
    <n v="98"/>
    <n v="2"/>
    <x v="2"/>
    <s v="Laboratory Technician"/>
    <n v="3"/>
    <s v="Single"/>
    <x v="48"/>
    <n v="19294"/>
    <n v="9"/>
    <s v="Y"/>
    <s v="Yes"/>
    <n v="13"/>
    <n v="3"/>
    <n v="4"/>
    <n v="80"/>
    <n v="0"/>
    <n v="23"/>
    <n v="2"/>
    <n v="3"/>
    <n v="1"/>
    <n v="0"/>
    <n v="0"/>
    <n v="0"/>
    <x v="1"/>
    <x v="0"/>
  </r>
  <r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x v="1"/>
    <s v="Laboratory Technician"/>
    <n v="3"/>
    <s v="Single"/>
    <x v="49"/>
    <n v="11179"/>
    <n v="1"/>
    <s v="Y"/>
    <s v="Yes"/>
    <n v="13"/>
    <n v="3"/>
    <n v="3"/>
    <n v="80"/>
    <n v="0"/>
    <n v="2"/>
    <n v="3"/>
    <n v="2"/>
    <n v="2"/>
    <n v="2"/>
    <n v="2"/>
    <n v="2"/>
    <x v="2"/>
    <x v="0"/>
  </r>
  <r>
    <n v="44"/>
    <s v="No"/>
    <s v="Travel_Rarely"/>
    <n v="1488"/>
    <s v="Sales"/>
    <n v="1"/>
    <n v="5"/>
    <s v="Marketing"/>
    <n v="1"/>
    <n v="68"/>
    <n v="2"/>
    <s v="Female"/>
    <n v="75"/>
    <n v="3"/>
    <x v="0"/>
    <s v="Sales Executive"/>
    <n v="1"/>
    <s v="Divorced"/>
    <x v="50"/>
    <n v="4009"/>
    <n v="5"/>
    <s v="Y"/>
    <s v="Yes"/>
    <n v="21"/>
    <n v="4"/>
    <n v="3"/>
    <n v="80"/>
    <n v="1"/>
    <n v="9"/>
    <n v="2"/>
    <n v="2"/>
    <n v="4"/>
    <n v="3"/>
    <n v="1"/>
    <n v="3"/>
    <x v="0"/>
    <x v="0"/>
  </r>
  <r>
    <n v="35"/>
    <s v="No"/>
    <s v="Non-Travel"/>
    <n v="1097"/>
    <s v="Research &amp; Development"/>
    <n v="11"/>
    <n v="2"/>
    <s v="Medical"/>
    <n v="1"/>
    <n v="70"/>
    <n v="3"/>
    <s v="Male"/>
    <n v="79"/>
    <n v="2"/>
    <x v="2"/>
    <s v="Healthcare Representative"/>
    <n v="1"/>
    <s v="Married"/>
    <x v="51"/>
    <n v="8302"/>
    <n v="2"/>
    <s v="Y"/>
    <s v="Yes"/>
    <n v="13"/>
    <n v="3"/>
    <n v="3"/>
    <n v="80"/>
    <n v="1"/>
    <n v="10"/>
    <n v="3"/>
    <n v="3"/>
    <n v="4"/>
    <n v="0"/>
    <n v="2"/>
    <n v="3"/>
    <x v="2"/>
    <x v="2"/>
  </r>
  <r>
    <n v="26"/>
    <s v="No"/>
    <s v="Travel_Rarely"/>
    <n v="1443"/>
    <s v="Sales"/>
    <n v="23"/>
    <n v="3"/>
    <s v="Marketing"/>
    <n v="1"/>
    <n v="72"/>
    <n v="3"/>
    <s v="Female"/>
    <n v="47"/>
    <n v="2"/>
    <x v="0"/>
    <s v="Sales Executive"/>
    <n v="4"/>
    <s v="Married"/>
    <x v="52"/>
    <n v="21436"/>
    <n v="7"/>
    <s v="Y"/>
    <s v="Yes"/>
    <n v="19"/>
    <n v="3"/>
    <n v="3"/>
    <n v="80"/>
    <n v="1"/>
    <n v="5"/>
    <n v="2"/>
    <n v="2"/>
    <n v="2"/>
    <n v="2"/>
    <n v="0"/>
    <n v="0"/>
    <x v="2"/>
    <x v="0"/>
  </r>
  <r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x v="2"/>
    <s v="Research Director"/>
    <n v="4"/>
    <s v="Single"/>
    <x v="53"/>
    <n v="15146"/>
    <n v="1"/>
    <s v="Y"/>
    <s v="Yes"/>
    <n v="12"/>
    <n v="3"/>
    <n v="3"/>
    <n v="80"/>
    <n v="0"/>
    <n v="15"/>
    <n v="1"/>
    <n v="3"/>
    <n v="15"/>
    <n v="14"/>
    <n v="8"/>
    <n v="12"/>
    <x v="2"/>
    <x v="3"/>
  </r>
  <r>
    <n v="35"/>
    <s v="No"/>
    <s v="Travel_Frequently"/>
    <n v="853"/>
    <s v="Sales"/>
    <n v="18"/>
    <n v="5"/>
    <s v="Life Sciences"/>
    <n v="1"/>
    <n v="74"/>
    <n v="2"/>
    <s v="Male"/>
    <n v="71"/>
    <n v="3"/>
    <x v="2"/>
    <s v="Sales Executive"/>
    <n v="1"/>
    <s v="Married"/>
    <x v="54"/>
    <n v="11031"/>
    <n v="1"/>
    <s v="Y"/>
    <s v="No"/>
    <n v="22"/>
    <n v="4"/>
    <n v="4"/>
    <n v="80"/>
    <n v="1"/>
    <n v="9"/>
    <n v="3"/>
    <n v="2"/>
    <n v="9"/>
    <n v="8"/>
    <n v="1"/>
    <n v="8"/>
    <x v="2"/>
    <x v="2"/>
  </r>
  <r>
    <n v="35"/>
    <s v="No"/>
    <s v="Travel_Rarely"/>
    <n v="1142"/>
    <s v="Research &amp; Development"/>
    <n v="23"/>
    <n v="4"/>
    <s v="Medical"/>
    <n v="1"/>
    <n v="75"/>
    <n v="3"/>
    <s v="Female"/>
    <n v="30"/>
    <n v="3"/>
    <x v="1"/>
    <s v="Laboratory Technician"/>
    <n v="1"/>
    <s v="Married"/>
    <x v="55"/>
    <n v="16002"/>
    <n v="3"/>
    <s v="Y"/>
    <s v="Yes"/>
    <n v="15"/>
    <n v="3"/>
    <n v="3"/>
    <n v="80"/>
    <n v="1"/>
    <n v="4"/>
    <n v="3"/>
    <n v="3"/>
    <n v="2"/>
    <n v="2"/>
    <n v="2"/>
    <n v="2"/>
    <x v="2"/>
    <x v="0"/>
  </r>
  <r>
    <n v="31"/>
    <s v="No"/>
    <s v="Travel_Rarely"/>
    <n v="655"/>
    <s v="Research &amp; Development"/>
    <n v="7"/>
    <n v="4"/>
    <s v="Life Sciences"/>
    <n v="1"/>
    <n v="76"/>
    <n v="4"/>
    <s v="Male"/>
    <n v="48"/>
    <n v="3"/>
    <x v="0"/>
    <s v="Laboratory Technician"/>
    <n v="4"/>
    <s v="Divorced"/>
    <x v="56"/>
    <n v="9528"/>
    <n v="3"/>
    <s v="Y"/>
    <s v="No"/>
    <n v="22"/>
    <n v="4"/>
    <n v="4"/>
    <n v="80"/>
    <n v="1"/>
    <n v="10"/>
    <n v="3"/>
    <n v="2"/>
    <n v="7"/>
    <n v="7"/>
    <n v="1"/>
    <n v="7"/>
    <x v="2"/>
    <x v="0"/>
  </r>
  <r>
    <n v="37"/>
    <s v="No"/>
    <s v="Travel_Rarely"/>
    <n v="1115"/>
    <s v="Research &amp; Development"/>
    <n v="1"/>
    <n v="4"/>
    <s v="Life Sciences"/>
    <n v="1"/>
    <n v="77"/>
    <n v="1"/>
    <s v="Male"/>
    <n v="51"/>
    <n v="2"/>
    <x v="0"/>
    <s v="Manufacturing Director"/>
    <n v="3"/>
    <s v="Divorced"/>
    <x v="0"/>
    <n v="2689"/>
    <n v="1"/>
    <s v="Y"/>
    <s v="No"/>
    <n v="18"/>
    <n v="3"/>
    <n v="3"/>
    <n v="80"/>
    <n v="1"/>
    <n v="7"/>
    <n v="2"/>
    <n v="4"/>
    <n v="7"/>
    <n v="5"/>
    <n v="0"/>
    <n v="7"/>
    <x v="0"/>
    <x v="0"/>
  </r>
  <r>
    <n v="32"/>
    <s v="No"/>
    <s v="Travel_Rarely"/>
    <n v="427"/>
    <s v="Research &amp; Development"/>
    <n v="1"/>
    <n v="3"/>
    <s v="Medical"/>
    <n v="1"/>
    <n v="78"/>
    <n v="1"/>
    <s v="Male"/>
    <n v="33"/>
    <n v="3"/>
    <x v="0"/>
    <s v="Manufacturing Director"/>
    <n v="4"/>
    <s v="Married"/>
    <x v="57"/>
    <n v="10877"/>
    <n v="1"/>
    <s v="Y"/>
    <s v="Yes"/>
    <n v="22"/>
    <n v="4"/>
    <n v="2"/>
    <n v="80"/>
    <n v="1"/>
    <n v="9"/>
    <n v="3"/>
    <n v="3"/>
    <n v="9"/>
    <n v="8"/>
    <n v="7"/>
    <n v="8"/>
    <x v="2"/>
    <x v="0"/>
  </r>
  <r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x v="0"/>
    <s v="Laboratory Technician"/>
    <n v="4"/>
    <s v="Single"/>
    <x v="58"/>
    <n v="5456"/>
    <n v="1"/>
    <s v="Y"/>
    <s v="No"/>
    <n v="11"/>
    <n v="3"/>
    <n v="4"/>
    <n v="80"/>
    <n v="0"/>
    <n v="10"/>
    <n v="2"/>
    <n v="3"/>
    <n v="10"/>
    <n v="3"/>
    <n v="9"/>
    <n v="9"/>
    <x v="0"/>
    <x v="1"/>
  </r>
  <r>
    <n v="50"/>
    <s v="No"/>
    <s v="Travel_Rarely"/>
    <n v="989"/>
    <s v="Research &amp; Development"/>
    <n v="7"/>
    <n v="2"/>
    <s v="Medical"/>
    <n v="1"/>
    <n v="80"/>
    <n v="2"/>
    <s v="Female"/>
    <n v="43"/>
    <n v="2"/>
    <x v="4"/>
    <s v="Research Director"/>
    <n v="3"/>
    <s v="Divorced"/>
    <x v="59"/>
    <n v="16701"/>
    <n v="5"/>
    <s v="Y"/>
    <s v="Yes"/>
    <n v="12"/>
    <n v="3"/>
    <n v="4"/>
    <n v="80"/>
    <n v="1"/>
    <n v="29"/>
    <n v="2"/>
    <n v="2"/>
    <n v="27"/>
    <n v="3"/>
    <n v="13"/>
    <n v="8"/>
    <x v="1"/>
    <x v="3"/>
  </r>
  <r>
    <n v="59"/>
    <s v="No"/>
    <s v="Travel_Rarely"/>
    <n v="1435"/>
    <s v="Sales"/>
    <n v="25"/>
    <n v="3"/>
    <s v="Life Sciences"/>
    <n v="1"/>
    <n v="81"/>
    <n v="1"/>
    <s v="Female"/>
    <n v="99"/>
    <n v="3"/>
    <x v="2"/>
    <s v="Sales Executive"/>
    <n v="1"/>
    <s v="Single"/>
    <x v="60"/>
    <n v="2354"/>
    <n v="7"/>
    <s v="Y"/>
    <s v="No"/>
    <n v="11"/>
    <n v="3"/>
    <n v="4"/>
    <n v="80"/>
    <n v="0"/>
    <n v="28"/>
    <n v="3"/>
    <n v="2"/>
    <n v="21"/>
    <n v="16"/>
    <n v="7"/>
    <n v="9"/>
    <x v="3"/>
    <x v="2"/>
  </r>
  <r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x v="2"/>
    <s v="Healthcare Representative"/>
    <n v="3"/>
    <s v="Divorced"/>
    <x v="61"/>
    <n v="8202"/>
    <n v="1"/>
    <s v="Y"/>
    <s v="No"/>
    <n v="13"/>
    <n v="3"/>
    <n v="2"/>
    <n v="80"/>
    <n v="3"/>
    <n v="17"/>
    <n v="2"/>
    <n v="3"/>
    <n v="17"/>
    <n v="14"/>
    <n v="12"/>
    <n v="8"/>
    <x v="0"/>
    <x v="2"/>
  </r>
  <r>
    <n v="55"/>
    <s v="No"/>
    <s v="Travel_Rarely"/>
    <n v="836"/>
    <s v="Research &amp; Development"/>
    <n v="8"/>
    <n v="3"/>
    <s v="Medical"/>
    <n v="1"/>
    <n v="84"/>
    <n v="4"/>
    <s v="Female"/>
    <n v="33"/>
    <n v="3"/>
    <x v="3"/>
    <s v="Manager"/>
    <n v="3"/>
    <s v="Divorced"/>
    <x v="62"/>
    <n v="19730"/>
    <n v="2"/>
    <s v="Y"/>
    <s v="Yes"/>
    <n v="14"/>
    <n v="3"/>
    <n v="3"/>
    <n v="80"/>
    <n v="3"/>
    <n v="21"/>
    <n v="2"/>
    <n v="3"/>
    <n v="5"/>
    <n v="0"/>
    <n v="0"/>
    <n v="2"/>
    <x v="1"/>
    <x v="3"/>
  </r>
  <r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x v="0"/>
    <s v="Manufacturing Director"/>
    <n v="2"/>
    <s v="Single"/>
    <x v="63"/>
    <n v="22656"/>
    <n v="1"/>
    <s v="Y"/>
    <s v="No"/>
    <n v="13"/>
    <n v="3"/>
    <n v="3"/>
    <n v="80"/>
    <n v="0"/>
    <n v="6"/>
    <n v="3"/>
    <n v="3"/>
    <n v="6"/>
    <n v="5"/>
    <n v="0"/>
    <n v="3"/>
    <x v="0"/>
    <x v="0"/>
  </r>
  <r>
    <n v="45"/>
    <s v="No"/>
    <s v="Travel_Rarely"/>
    <n v="1339"/>
    <s v="Research &amp; Development"/>
    <n v="7"/>
    <n v="3"/>
    <s v="Life Sciences"/>
    <n v="1"/>
    <n v="86"/>
    <n v="2"/>
    <s v="Male"/>
    <n v="59"/>
    <n v="3"/>
    <x v="2"/>
    <s v="Research Scientist"/>
    <n v="1"/>
    <s v="Divorced"/>
    <x v="64"/>
    <n v="18787"/>
    <n v="2"/>
    <s v="Y"/>
    <s v="No"/>
    <n v="17"/>
    <n v="3"/>
    <n v="3"/>
    <n v="80"/>
    <n v="1"/>
    <n v="25"/>
    <n v="2"/>
    <n v="3"/>
    <n v="1"/>
    <n v="0"/>
    <n v="0"/>
    <n v="0"/>
    <x v="0"/>
    <x v="2"/>
  </r>
  <r>
    <n v="35"/>
    <s v="No"/>
    <s v="Travel_Frequently"/>
    <n v="664"/>
    <s v="Research &amp; Development"/>
    <n v="1"/>
    <n v="3"/>
    <s v="Medical"/>
    <n v="1"/>
    <n v="88"/>
    <n v="2"/>
    <s v="Male"/>
    <n v="79"/>
    <n v="3"/>
    <x v="1"/>
    <s v="Research Scientist"/>
    <n v="1"/>
    <s v="Married"/>
    <x v="65"/>
    <n v="5868"/>
    <n v="4"/>
    <s v="Y"/>
    <s v="No"/>
    <n v="13"/>
    <n v="3"/>
    <n v="4"/>
    <n v="80"/>
    <n v="1"/>
    <n v="5"/>
    <n v="2"/>
    <n v="2"/>
    <n v="3"/>
    <n v="2"/>
    <n v="1"/>
    <n v="2"/>
    <x v="2"/>
    <x v="1"/>
  </r>
  <r>
    <n v="36"/>
    <s v="Yes"/>
    <s v="Travel_Rarely"/>
    <n v="318"/>
    <s v="Research &amp; Development"/>
    <n v="9"/>
    <n v="3"/>
    <s v="Medical"/>
    <n v="1"/>
    <n v="90"/>
    <n v="4"/>
    <s v="Male"/>
    <n v="79"/>
    <n v="2"/>
    <x v="1"/>
    <s v="Research Scientist"/>
    <n v="3"/>
    <s v="Married"/>
    <x v="66"/>
    <n v="21777"/>
    <n v="0"/>
    <s v="Y"/>
    <s v="Yes"/>
    <n v="17"/>
    <n v="3"/>
    <n v="1"/>
    <n v="80"/>
    <n v="1"/>
    <n v="2"/>
    <n v="0"/>
    <n v="2"/>
    <n v="1"/>
    <n v="0"/>
    <n v="0"/>
    <n v="0"/>
    <x v="0"/>
    <x v="0"/>
  </r>
  <r>
    <n v="59"/>
    <s v="No"/>
    <s v="Travel_Frequently"/>
    <n v="1225"/>
    <s v="Sales"/>
    <n v="1"/>
    <n v="1"/>
    <s v="Life Sciences"/>
    <n v="1"/>
    <n v="91"/>
    <n v="1"/>
    <s v="Female"/>
    <n v="57"/>
    <n v="2"/>
    <x v="0"/>
    <s v="Sales Executive"/>
    <n v="3"/>
    <s v="Single"/>
    <x v="67"/>
    <n v="24668"/>
    <n v="7"/>
    <s v="Y"/>
    <s v="No"/>
    <n v="11"/>
    <n v="3"/>
    <n v="4"/>
    <n v="80"/>
    <n v="0"/>
    <n v="20"/>
    <n v="2"/>
    <n v="2"/>
    <n v="4"/>
    <n v="3"/>
    <n v="1"/>
    <n v="3"/>
    <x v="3"/>
    <x v="0"/>
  </r>
  <r>
    <n v="29"/>
    <s v="No"/>
    <s v="Travel_Rarely"/>
    <n v="1328"/>
    <s v="Research &amp; Development"/>
    <n v="2"/>
    <n v="3"/>
    <s v="Life Sciences"/>
    <n v="1"/>
    <n v="94"/>
    <n v="3"/>
    <s v="Male"/>
    <n v="76"/>
    <n v="3"/>
    <x v="1"/>
    <s v="Research Scientist"/>
    <n v="2"/>
    <s v="Married"/>
    <x v="68"/>
    <n v="4956"/>
    <n v="0"/>
    <s v="Y"/>
    <s v="No"/>
    <n v="23"/>
    <n v="4"/>
    <n v="4"/>
    <n v="80"/>
    <n v="1"/>
    <n v="6"/>
    <n v="3"/>
    <n v="3"/>
    <n v="5"/>
    <n v="4"/>
    <n v="0"/>
    <n v="4"/>
    <x v="2"/>
    <x v="1"/>
  </r>
  <r>
    <n v="31"/>
    <s v="No"/>
    <s v="Travel_Rarely"/>
    <n v="1082"/>
    <s v="Research &amp; Development"/>
    <n v="1"/>
    <n v="4"/>
    <s v="Medical"/>
    <n v="1"/>
    <n v="95"/>
    <n v="3"/>
    <s v="Male"/>
    <n v="87"/>
    <n v="3"/>
    <x v="1"/>
    <s v="Research Scientist"/>
    <n v="2"/>
    <s v="Single"/>
    <x v="69"/>
    <n v="18775"/>
    <n v="1"/>
    <s v="Y"/>
    <s v="No"/>
    <n v="17"/>
    <n v="3"/>
    <n v="2"/>
    <n v="80"/>
    <n v="0"/>
    <n v="1"/>
    <n v="4"/>
    <n v="3"/>
    <n v="1"/>
    <n v="1"/>
    <n v="1"/>
    <n v="0"/>
    <x v="2"/>
    <x v="1"/>
  </r>
  <r>
    <n v="32"/>
    <s v="No"/>
    <s v="Travel_Rarely"/>
    <n v="548"/>
    <s v="Research &amp; Development"/>
    <n v="1"/>
    <n v="3"/>
    <s v="Life Sciences"/>
    <n v="1"/>
    <n v="96"/>
    <n v="2"/>
    <s v="Male"/>
    <n v="66"/>
    <n v="3"/>
    <x v="0"/>
    <s v="Research Scientist"/>
    <n v="2"/>
    <s v="Married"/>
    <x v="70"/>
    <n v="7346"/>
    <n v="1"/>
    <s v="Y"/>
    <s v="No"/>
    <n v="17"/>
    <n v="3"/>
    <n v="2"/>
    <n v="80"/>
    <n v="2"/>
    <n v="10"/>
    <n v="3"/>
    <n v="3"/>
    <n v="10"/>
    <n v="4"/>
    <n v="0"/>
    <n v="9"/>
    <x v="2"/>
    <x v="0"/>
  </r>
  <r>
    <n v="36"/>
    <s v="No"/>
    <s v="Travel_Rarely"/>
    <n v="132"/>
    <s v="Research &amp; Development"/>
    <n v="6"/>
    <n v="3"/>
    <s v="Life Sciences"/>
    <n v="1"/>
    <n v="97"/>
    <n v="2"/>
    <s v="Female"/>
    <n v="55"/>
    <n v="4"/>
    <x v="1"/>
    <s v="Laboratory Technician"/>
    <n v="4"/>
    <s v="Married"/>
    <x v="71"/>
    <n v="22002"/>
    <n v="3"/>
    <s v="Y"/>
    <s v="No"/>
    <n v="12"/>
    <n v="3"/>
    <n v="2"/>
    <n v="80"/>
    <n v="0"/>
    <n v="5"/>
    <n v="3"/>
    <n v="3"/>
    <n v="1"/>
    <n v="0"/>
    <n v="0"/>
    <n v="0"/>
    <x v="0"/>
    <x v="0"/>
  </r>
  <r>
    <n v="31"/>
    <s v="No"/>
    <s v="Travel_Rarely"/>
    <n v="746"/>
    <s v="Research &amp; Development"/>
    <n v="8"/>
    <n v="4"/>
    <s v="Life Sciences"/>
    <n v="1"/>
    <n v="98"/>
    <n v="3"/>
    <s v="Female"/>
    <n v="61"/>
    <n v="3"/>
    <x v="0"/>
    <s v="Manufacturing Director"/>
    <n v="4"/>
    <s v="Single"/>
    <x v="72"/>
    <n v="20682"/>
    <n v="1"/>
    <s v="Y"/>
    <s v="No"/>
    <n v="23"/>
    <n v="4"/>
    <n v="4"/>
    <n v="80"/>
    <n v="0"/>
    <n v="11"/>
    <n v="2"/>
    <n v="3"/>
    <n v="11"/>
    <n v="7"/>
    <n v="1"/>
    <n v="8"/>
    <x v="2"/>
    <x v="0"/>
  </r>
  <r>
    <n v="35"/>
    <s v="No"/>
    <s v="Travel_Rarely"/>
    <n v="776"/>
    <s v="Sales"/>
    <n v="1"/>
    <n v="4"/>
    <s v="Marketing"/>
    <n v="1"/>
    <n v="100"/>
    <n v="3"/>
    <s v="Male"/>
    <n v="32"/>
    <n v="2"/>
    <x v="0"/>
    <s v="Sales Executive"/>
    <n v="1"/>
    <s v="Single"/>
    <x v="73"/>
    <n v="23016"/>
    <n v="0"/>
    <s v="Y"/>
    <s v="No"/>
    <n v="14"/>
    <n v="3"/>
    <n v="2"/>
    <n v="80"/>
    <n v="0"/>
    <n v="16"/>
    <n v="2"/>
    <n v="3"/>
    <n v="15"/>
    <n v="13"/>
    <n v="2"/>
    <n v="8"/>
    <x v="2"/>
    <x v="0"/>
  </r>
  <r>
    <n v="45"/>
    <s v="No"/>
    <s v="Travel_Rarely"/>
    <n v="193"/>
    <s v="Research &amp; Development"/>
    <n v="6"/>
    <n v="4"/>
    <s v="Other"/>
    <n v="1"/>
    <n v="101"/>
    <n v="4"/>
    <s v="Male"/>
    <n v="52"/>
    <n v="3"/>
    <x v="2"/>
    <s v="Research Director"/>
    <n v="1"/>
    <s v="Married"/>
    <x v="74"/>
    <n v="15067"/>
    <n v="4"/>
    <s v="Y"/>
    <s v="Yes"/>
    <n v="14"/>
    <n v="3"/>
    <n v="2"/>
    <n v="80"/>
    <n v="0"/>
    <n v="17"/>
    <n v="3"/>
    <n v="4"/>
    <n v="0"/>
    <n v="0"/>
    <n v="0"/>
    <n v="0"/>
    <x v="0"/>
    <x v="3"/>
  </r>
  <r>
    <n v="37"/>
    <s v="No"/>
    <s v="Travel_Rarely"/>
    <n v="397"/>
    <s v="Research &amp; Development"/>
    <n v="7"/>
    <n v="4"/>
    <s v="Medical"/>
    <n v="1"/>
    <n v="102"/>
    <n v="1"/>
    <s v="Male"/>
    <n v="30"/>
    <n v="3"/>
    <x v="2"/>
    <s v="Research Director"/>
    <n v="3"/>
    <s v="Single"/>
    <x v="75"/>
    <n v="25258"/>
    <n v="4"/>
    <s v="Y"/>
    <s v="No"/>
    <n v="13"/>
    <n v="3"/>
    <n v="1"/>
    <n v="80"/>
    <n v="0"/>
    <n v="16"/>
    <n v="3"/>
    <n v="4"/>
    <n v="5"/>
    <n v="2"/>
    <n v="0"/>
    <n v="2"/>
    <x v="0"/>
    <x v="3"/>
  </r>
  <r>
    <n v="46"/>
    <s v="No"/>
    <s v="Travel_Rarely"/>
    <n v="945"/>
    <s v="Human Resources"/>
    <n v="5"/>
    <n v="2"/>
    <s v="Medical"/>
    <n v="1"/>
    <n v="103"/>
    <n v="2"/>
    <s v="Male"/>
    <n v="80"/>
    <n v="3"/>
    <x v="0"/>
    <s v="Human Resources"/>
    <n v="2"/>
    <s v="Divorced"/>
    <x v="76"/>
    <n v="10425"/>
    <n v="8"/>
    <s v="Y"/>
    <s v="Yes"/>
    <n v="22"/>
    <n v="4"/>
    <n v="4"/>
    <n v="80"/>
    <n v="1"/>
    <n v="16"/>
    <n v="2"/>
    <n v="3"/>
    <n v="4"/>
    <n v="2"/>
    <n v="0"/>
    <n v="2"/>
    <x v="1"/>
    <x v="0"/>
  </r>
  <r>
    <n v="30"/>
    <s v="No"/>
    <s v="Travel_Rarely"/>
    <n v="852"/>
    <s v="Research &amp; Development"/>
    <n v="1"/>
    <n v="1"/>
    <s v="Life Sciences"/>
    <n v="1"/>
    <n v="104"/>
    <n v="4"/>
    <s v="Male"/>
    <n v="55"/>
    <n v="2"/>
    <x v="0"/>
    <s v="Laboratory Technician"/>
    <n v="4"/>
    <s v="Married"/>
    <x v="77"/>
    <n v="15998"/>
    <n v="1"/>
    <s v="Y"/>
    <s v="Yes"/>
    <n v="12"/>
    <n v="3"/>
    <n v="3"/>
    <n v="80"/>
    <n v="2"/>
    <n v="10"/>
    <n v="1"/>
    <n v="2"/>
    <n v="10"/>
    <n v="8"/>
    <n v="3"/>
    <n v="0"/>
    <x v="2"/>
    <x v="0"/>
  </r>
  <r>
    <n v="35"/>
    <s v="No"/>
    <s v="Travel_Rarely"/>
    <n v="1214"/>
    <s v="Research &amp; Development"/>
    <n v="1"/>
    <n v="3"/>
    <s v="Medical"/>
    <n v="1"/>
    <n v="105"/>
    <n v="2"/>
    <s v="Male"/>
    <n v="30"/>
    <n v="2"/>
    <x v="1"/>
    <s v="Research Scientist"/>
    <n v="3"/>
    <s v="Single"/>
    <x v="78"/>
    <n v="26278"/>
    <n v="1"/>
    <s v="Y"/>
    <s v="No"/>
    <n v="18"/>
    <n v="3"/>
    <n v="1"/>
    <n v="80"/>
    <n v="0"/>
    <n v="6"/>
    <n v="3"/>
    <n v="3"/>
    <n v="6"/>
    <n v="4"/>
    <n v="0"/>
    <n v="4"/>
    <x v="2"/>
    <x v="1"/>
  </r>
  <r>
    <n v="55"/>
    <s v="No"/>
    <s v="Travel_Rarely"/>
    <n v="111"/>
    <s v="Sales"/>
    <n v="1"/>
    <n v="2"/>
    <s v="Life Sciences"/>
    <n v="1"/>
    <n v="106"/>
    <n v="1"/>
    <s v="Male"/>
    <n v="70"/>
    <n v="3"/>
    <x v="2"/>
    <s v="Sales Executive"/>
    <n v="4"/>
    <s v="Married"/>
    <x v="79"/>
    <n v="18092"/>
    <n v="3"/>
    <s v="Y"/>
    <s v="No"/>
    <n v="14"/>
    <n v="3"/>
    <n v="4"/>
    <n v="80"/>
    <n v="1"/>
    <n v="24"/>
    <n v="4"/>
    <n v="3"/>
    <n v="1"/>
    <n v="0"/>
    <n v="1"/>
    <n v="0"/>
    <x v="1"/>
    <x v="2"/>
  </r>
  <r>
    <n v="38"/>
    <s v="No"/>
    <s v="Non-Travel"/>
    <n v="573"/>
    <s v="Research &amp; Development"/>
    <n v="6"/>
    <n v="3"/>
    <s v="Medical"/>
    <n v="1"/>
    <n v="107"/>
    <n v="2"/>
    <s v="Female"/>
    <n v="79"/>
    <n v="1"/>
    <x v="0"/>
    <s v="Research Scientist"/>
    <n v="4"/>
    <s v="Divorced"/>
    <x v="80"/>
    <n v="15717"/>
    <n v="7"/>
    <s v="Y"/>
    <s v="Yes"/>
    <n v="12"/>
    <n v="3"/>
    <n v="4"/>
    <n v="80"/>
    <n v="3"/>
    <n v="17"/>
    <n v="3"/>
    <n v="3"/>
    <n v="13"/>
    <n v="11"/>
    <n v="1"/>
    <n v="9"/>
    <x v="0"/>
    <x v="0"/>
  </r>
  <r>
    <n v="34"/>
    <s v="No"/>
    <s v="Travel_Rarely"/>
    <n v="1153"/>
    <s v="Research &amp; Development"/>
    <n v="1"/>
    <n v="2"/>
    <s v="Medical"/>
    <n v="1"/>
    <n v="110"/>
    <n v="1"/>
    <s v="Male"/>
    <n v="94"/>
    <n v="3"/>
    <x v="0"/>
    <s v="Manufacturing Director"/>
    <n v="2"/>
    <s v="Married"/>
    <x v="81"/>
    <n v="17736"/>
    <n v="1"/>
    <s v="Y"/>
    <s v="No"/>
    <n v="15"/>
    <n v="3"/>
    <n v="3"/>
    <n v="80"/>
    <n v="0"/>
    <n v="5"/>
    <n v="2"/>
    <n v="3"/>
    <n v="5"/>
    <n v="2"/>
    <n v="1"/>
    <n v="3"/>
    <x v="2"/>
    <x v="0"/>
  </r>
  <r>
    <n v="56"/>
    <s v="No"/>
    <s v="Travel_Rarely"/>
    <n v="1400"/>
    <s v="Research &amp; Development"/>
    <n v="7"/>
    <n v="3"/>
    <s v="Life Sciences"/>
    <n v="1"/>
    <n v="112"/>
    <n v="4"/>
    <s v="Male"/>
    <n v="49"/>
    <n v="1"/>
    <x v="2"/>
    <s v="Manufacturing Director"/>
    <n v="4"/>
    <s v="Single"/>
    <x v="82"/>
    <n v="21698"/>
    <n v="4"/>
    <s v="Y"/>
    <s v="No"/>
    <n v="11"/>
    <n v="3"/>
    <n v="1"/>
    <n v="80"/>
    <n v="0"/>
    <n v="37"/>
    <n v="3"/>
    <n v="2"/>
    <n v="6"/>
    <n v="4"/>
    <n v="0"/>
    <n v="2"/>
    <x v="3"/>
    <x v="2"/>
  </r>
  <r>
    <n v="23"/>
    <s v="No"/>
    <s v="Travel_Rarely"/>
    <n v="541"/>
    <s v="Sales"/>
    <n v="2"/>
    <n v="1"/>
    <s v="Technical Degree"/>
    <n v="1"/>
    <n v="113"/>
    <n v="3"/>
    <s v="Male"/>
    <n v="62"/>
    <n v="3"/>
    <x v="1"/>
    <s v="Sales Representative"/>
    <n v="1"/>
    <s v="Divorced"/>
    <x v="83"/>
    <n v="9518"/>
    <n v="3"/>
    <s v="Y"/>
    <s v="No"/>
    <n v="13"/>
    <n v="3"/>
    <n v="3"/>
    <n v="80"/>
    <n v="1"/>
    <n v="3"/>
    <n v="3"/>
    <n v="3"/>
    <n v="0"/>
    <n v="0"/>
    <n v="0"/>
    <n v="0"/>
    <x v="4"/>
    <x v="1"/>
  </r>
  <r>
    <n v="51"/>
    <s v="No"/>
    <s v="Travel_Rarely"/>
    <n v="432"/>
    <s v="Research &amp; Development"/>
    <n v="9"/>
    <n v="4"/>
    <s v="Life Sciences"/>
    <n v="1"/>
    <n v="116"/>
    <n v="4"/>
    <s v="Male"/>
    <n v="96"/>
    <n v="3"/>
    <x v="1"/>
    <s v="Laboratory Technician"/>
    <n v="4"/>
    <s v="Married"/>
    <x v="84"/>
    <n v="18725"/>
    <n v="3"/>
    <s v="Y"/>
    <s v="No"/>
    <n v="23"/>
    <n v="4"/>
    <n v="2"/>
    <n v="80"/>
    <n v="2"/>
    <n v="10"/>
    <n v="4"/>
    <n v="3"/>
    <n v="4"/>
    <n v="2"/>
    <n v="0"/>
    <n v="3"/>
    <x v="1"/>
    <x v="1"/>
  </r>
  <r>
    <n v="30"/>
    <s v="No"/>
    <s v="Travel_Rarely"/>
    <n v="288"/>
    <s v="Research &amp; Development"/>
    <n v="2"/>
    <n v="3"/>
    <s v="Life Sciences"/>
    <n v="1"/>
    <n v="117"/>
    <n v="3"/>
    <s v="Male"/>
    <n v="99"/>
    <n v="2"/>
    <x v="0"/>
    <s v="Healthcare Representative"/>
    <n v="4"/>
    <s v="Married"/>
    <x v="85"/>
    <n v="15830"/>
    <n v="1"/>
    <s v="Y"/>
    <s v="No"/>
    <n v="19"/>
    <n v="3"/>
    <n v="1"/>
    <n v="80"/>
    <n v="3"/>
    <n v="11"/>
    <n v="3"/>
    <n v="3"/>
    <n v="11"/>
    <n v="10"/>
    <n v="10"/>
    <n v="8"/>
    <x v="2"/>
    <x v="0"/>
  </r>
  <r>
    <n v="46"/>
    <s v="Yes"/>
    <s v="Travel_Rarely"/>
    <n v="669"/>
    <s v="Sales"/>
    <n v="9"/>
    <n v="2"/>
    <s v="Medical"/>
    <n v="1"/>
    <n v="118"/>
    <n v="3"/>
    <s v="Male"/>
    <n v="64"/>
    <n v="2"/>
    <x v="2"/>
    <s v="Sales Executive"/>
    <n v="4"/>
    <s v="Single"/>
    <x v="86"/>
    <n v="13596"/>
    <n v="1"/>
    <s v="Y"/>
    <s v="No"/>
    <n v="16"/>
    <n v="3"/>
    <n v="4"/>
    <n v="80"/>
    <n v="0"/>
    <n v="9"/>
    <n v="3"/>
    <n v="3"/>
    <n v="9"/>
    <n v="8"/>
    <n v="4"/>
    <n v="7"/>
    <x v="1"/>
    <x v="2"/>
  </r>
  <r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x v="3"/>
    <s v="Healthcare Representative"/>
    <n v="2"/>
    <s v="Married"/>
    <x v="87"/>
    <n v="14115"/>
    <n v="1"/>
    <s v="Y"/>
    <s v="No"/>
    <n v="22"/>
    <n v="4"/>
    <n v="4"/>
    <n v="80"/>
    <n v="1"/>
    <n v="22"/>
    <n v="3"/>
    <n v="2"/>
    <n v="22"/>
    <n v="3"/>
    <n v="11"/>
    <n v="11"/>
    <x v="0"/>
    <x v="3"/>
  </r>
  <r>
    <n v="51"/>
    <s v="No"/>
    <s v="Travel_Rarely"/>
    <n v="632"/>
    <s v="Sales"/>
    <n v="21"/>
    <n v="4"/>
    <s v="Marketing"/>
    <n v="1"/>
    <n v="120"/>
    <n v="3"/>
    <s v="Male"/>
    <n v="71"/>
    <n v="3"/>
    <x v="0"/>
    <s v="Sales Executive"/>
    <n v="4"/>
    <s v="Single"/>
    <x v="88"/>
    <n v="8423"/>
    <n v="0"/>
    <s v="Y"/>
    <s v="Yes"/>
    <n v="22"/>
    <n v="4"/>
    <n v="4"/>
    <n v="80"/>
    <n v="0"/>
    <n v="11"/>
    <n v="2"/>
    <n v="1"/>
    <n v="10"/>
    <n v="7"/>
    <n v="1"/>
    <n v="0"/>
    <x v="1"/>
    <x v="0"/>
  </r>
  <r>
    <n v="30"/>
    <s v="No"/>
    <s v="Travel_Rarely"/>
    <n v="1334"/>
    <s v="Sales"/>
    <n v="4"/>
    <n v="2"/>
    <s v="Medical"/>
    <n v="1"/>
    <n v="121"/>
    <n v="3"/>
    <s v="Female"/>
    <n v="63"/>
    <n v="2"/>
    <x v="0"/>
    <s v="Sales Executive"/>
    <n v="2"/>
    <s v="Divorced"/>
    <x v="89"/>
    <n v="19760"/>
    <n v="1"/>
    <s v="Y"/>
    <s v="Yes"/>
    <n v="12"/>
    <n v="3"/>
    <n v="2"/>
    <n v="80"/>
    <n v="3"/>
    <n v="11"/>
    <n v="4"/>
    <n v="2"/>
    <n v="11"/>
    <n v="8"/>
    <n v="2"/>
    <n v="7"/>
    <x v="2"/>
    <x v="0"/>
  </r>
  <r>
    <n v="46"/>
    <s v="No"/>
    <s v="Travel_Frequently"/>
    <n v="638"/>
    <s v="Research &amp; Development"/>
    <n v="1"/>
    <n v="3"/>
    <s v="Medical"/>
    <n v="1"/>
    <n v="124"/>
    <n v="3"/>
    <s v="Male"/>
    <n v="40"/>
    <n v="2"/>
    <x v="2"/>
    <s v="Healthcare Representative"/>
    <n v="1"/>
    <s v="Married"/>
    <x v="90"/>
    <n v="3142"/>
    <n v="2"/>
    <s v="Y"/>
    <s v="Yes"/>
    <n v="13"/>
    <n v="3"/>
    <n v="3"/>
    <n v="80"/>
    <n v="1"/>
    <n v="21"/>
    <n v="5"/>
    <n v="2"/>
    <n v="10"/>
    <n v="9"/>
    <n v="9"/>
    <n v="5"/>
    <x v="1"/>
    <x v="2"/>
  </r>
  <r>
    <n v="32"/>
    <s v="No"/>
    <s v="Travel_Rarely"/>
    <n v="1093"/>
    <s v="Sales"/>
    <n v="6"/>
    <n v="4"/>
    <s v="Medical"/>
    <n v="1"/>
    <n v="125"/>
    <n v="2"/>
    <s v="Male"/>
    <n v="87"/>
    <n v="3"/>
    <x v="0"/>
    <s v="Sales Executive"/>
    <n v="3"/>
    <s v="Single"/>
    <x v="91"/>
    <n v="24301"/>
    <n v="1"/>
    <s v="Y"/>
    <s v="No"/>
    <n v="16"/>
    <n v="3"/>
    <n v="1"/>
    <n v="80"/>
    <n v="0"/>
    <n v="12"/>
    <n v="0"/>
    <n v="3"/>
    <n v="11"/>
    <n v="8"/>
    <n v="5"/>
    <n v="7"/>
    <x v="2"/>
    <x v="0"/>
  </r>
  <r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x v="2"/>
    <s v="Research Director"/>
    <n v="3"/>
    <s v="Married"/>
    <x v="92"/>
    <n v="24001"/>
    <n v="9"/>
    <s v="Y"/>
    <s v="No"/>
    <n v="12"/>
    <n v="3"/>
    <n v="1"/>
    <n v="80"/>
    <n v="1"/>
    <n v="16"/>
    <n v="5"/>
    <n v="1"/>
    <n v="4"/>
    <n v="3"/>
    <n v="0"/>
    <n v="3"/>
    <x v="1"/>
    <x v="3"/>
  </r>
  <r>
    <n v="24"/>
    <s v="No"/>
    <s v="Travel_Rarely"/>
    <n v="1353"/>
    <s v="Sales"/>
    <n v="3"/>
    <n v="2"/>
    <s v="Other"/>
    <n v="1"/>
    <n v="128"/>
    <n v="1"/>
    <s v="Female"/>
    <n v="33"/>
    <n v="3"/>
    <x v="0"/>
    <s v="Sales Executive"/>
    <n v="3"/>
    <s v="Married"/>
    <x v="93"/>
    <n v="17519"/>
    <n v="0"/>
    <s v="Y"/>
    <s v="No"/>
    <n v="21"/>
    <n v="4"/>
    <n v="1"/>
    <n v="80"/>
    <n v="1"/>
    <n v="4"/>
    <n v="2"/>
    <n v="2"/>
    <n v="3"/>
    <n v="2"/>
    <n v="0"/>
    <n v="2"/>
    <x v="4"/>
    <x v="0"/>
  </r>
  <r>
    <n v="28"/>
    <s v="No"/>
    <s v="Non-Travel"/>
    <n v="120"/>
    <s v="Sales"/>
    <n v="4"/>
    <n v="3"/>
    <s v="Medical"/>
    <n v="1"/>
    <n v="129"/>
    <n v="2"/>
    <s v="Male"/>
    <n v="43"/>
    <n v="3"/>
    <x v="0"/>
    <s v="Sales Executive"/>
    <n v="3"/>
    <s v="Married"/>
    <x v="94"/>
    <n v="8863"/>
    <n v="1"/>
    <s v="Y"/>
    <s v="No"/>
    <n v="15"/>
    <n v="3"/>
    <n v="2"/>
    <n v="80"/>
    <n v="0"/>
    <n v="5"/>
    <n v="3"/>
    <n v="4"/>
    <n v="5"/>
    <n v="4"/>
    <n v="0"/>
    <n v="4"/>
    <x v="2"/>
    <x v="0"/>
  </r>
  <r>
    <n v="58"/>
    <s v="No"/>
    <s v="Travel_Rarely"/>
    <n v="682"/>
    <s v="Sales"/>
    <n v="10"/>
    <n v="4"/>
    <s v="Medical"/>
    <n v="1"/>
    <n v="131"/>
    <n v="4"/>
    <s v="Male"/>
    <n v="37"/>
    <n v="3"/>
    <x v="3"/>
    <s v="Sales Executive"/>
    <n v="3"/>
    <s v="Single"/>
    <x v="95"/>
    <n v="24409"/>
    <n v="0"/>
    <s v="Y"/>
    <s v="No"/>
    <n v="13"/>
    <n v="3"/>
    <n v="3"/>
    <n v="80"/>
    <n v="0"/>
    <n v="38"/>
    <n v="1"/>
    <n v="2"/>
    <n v="37"/>
    <n v="10"/>
    <n v="1"/>
    <n v="8"/>
    <x v="3"/>
    <x v="3"/>
  </r>
  <r>
    <n v="44"/>
    <s v="No"/>
    <s v="Non-Travel"/>
    <n v="489"/>
    <s v="Research &amp; Development"/>
    <n v="23"/>
    <n v="3"/>
    <s v="Medical"/>
    <n v="1"/>
    <n v="132"/>
    <n v="2"/>
    <s v="Male"/>
    <n v="67"/>
    <n v="3"/>
    <x v="0"/>
    <s v="Laboratory Technician"/>
    <n v="2"/>
    <s v="Married"/>
    <x v="96"/>
    <n v="25043"/>
    <n v="4"/>
    <s v="Y"/>
    <s v="No"/>
    <n v="12"/>
    <n v="3"/>
    <n v="3"/>
    <n v="80"/>
    <n v="1"/>
    <n v="17"/>
    <n v="3"/>
    <n v="4"/>
    <n v="3"/>
    <n v="2"/>
    <n v="1"/>
    <n v="2"/>
    <x v="0"/>
    <x v="1"/>
  </r>
  <r>
    <n v="37"/>
    <s v="Yes"/>
    <s v="Travel_Rarely"/>
    <n v="807"/>
    <s v="Human Resources"/>
    <n v="6"/>
    <n v="4"/>
    <s v="Human Resources"/>
    <n v="1"/>
    <n v="133"/>
    <n v="3"/>
    <s v="Male"/>
    <n v="63"/>
    <n v="3"/>
    <x v="1"/>
    <s v="Human Resources"/>
    <n v="1"/>
    <s v="Divorced"/>
    <x v="97"/>
    <n v="23648"/>
    <n v="4"/>
    <s v="Y"/>
    <s v="Yes"/>
    <n v="22"/>
    <n v="4"/>
    <n v="4"/>
    <n v="80"/>
    <n v="0"/>
    <n v="7"/>
    <n v="3"/>
    <n v="3"/>
    <n v="3"/>
    <n v="2"/>
    <n v="0"/>
    <n v="2"/>
    <x v="0"/>
    <x v="1"/>
  </r>
  <r>
    <n v="32"/>
    <s v="No"/>
    <s v="Travel_Rarely"/>
    <n v="827"/>
    <s v="Research &amp; Development"/>
    <n v="1"/>
    <n v="1"/>
    <s v="Life Sciences"/>
    <n v="1"/>
    <n v="134"/>
    <n v="4"/>
    <s v="Male"/>
    <n v="71"/>
    <n v="3"/>
    <x v="1"/>
    <s v="Research Scientist"/>
    <n v="1"/>
    <s v="Single"/>
    <x v="98"/>
    <n v="15178"/>
    <n v="1"/>
    <s v="Y"/>
    <s v="No"/>
    <n v="13"/>
    <n v="3"/>
    <n v="4"/>
    <n v="80"/>
    <n v="0"/>
    <n v="1"/>
    <n v="2"/>
    <n v="3"/>
    <n v="1"/>
    <n v="0"/>
    <n v="0"/>
    <n v="0"/>
    <x v="2"/>
    <x v="1"/>
  </r>
  <r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x v="1"/>
    <s v="Laboratory Technician"/>
    <n v="4"/>
    <s v="Single"/>
    <x v="99"/>
    <n v="19783"/>
    <n v="1"/>
    <s v="Y"/>
    <s v="Yes"/>
    <n v="18"/>
    <n v="3"/>
    <n v="2"/>
    <n v="80"/>
    <n v="0"/>
    <n v="1"/>
    <n v="5"/>
    <n v="3"/>
    <n v="1"/>
    <n v="0"/>
    <n v="1"/>
    <n v="0"/>
    <x v="4"/>
    <x v="1"/>
  </r>
  <r>
    <n v="34"/>
    <s v="No"/>
    <s v="Travel_Rarely"/>
    <n v="665"/>
    <s v="Research &amp; Development"/>
    <n v="6"/>
    <n v="4"/>
    <s v="Other"/>
    <n v="1"/>
    <n v="138"/>
    <n v="1"/>
    <s v="Female"/>
    <n v="41"/>
    <n v="3"/>
    <x v="0"/>
    <s v="Research Scientist"/>
    <n v="3"/>
    <s v="Single"/>
    <x v="100"/>
    <n v="12482"/>
    <n v="1"/>
    <s v="Y"/>
    <s v="No"/>
    <n v="14"/>
    <n v="3"/>
    <n v="3"/>
    <n v="80"/>
    <n v="0"/>
    <n v="16"/>
    <n v="3"/>
    <n v="3"/>
    <n v="16"/>
    <n v="13"/>
    <n v="2"/>
    <n v="10"/>
    <x v="2"/>
    <x v="0"/>
  </r>
  <r>
    <n v="37"/>
    <s v="No"/>
    <s v="Non-Travel"/>
    <n v="1040"/>
    <s v="Research &amp; Development"/>
    <n v="2"/>
    <n v="2"/>
    <s v="Life Sciences"/>
    <n v="1"/>
    <n v="139"/>
    <n v="3"/>
    <s v="Male"/>
    <n v="100"/>
    <n v="2"/>
    <x v="0"/>
    <s v="Healthcare Representative"/>
    <n v="4"/>
    <s v="Divorced"/>
    <x v="101"/>
    <n v="15850"/>
    <n v="5"/>
    <s v="Y"/>
    <s v="No"/>
    <n v="14"/>
    <n v="3"/>
    <n v="4"/>
    <n v="80"/>
    <n v="1"/>
    <n v="17"/>
    <n v="2"/>
    <n v="4"/>
    <n v="1"/>
    <n v="0"/>
    <n v="0"/>
    <n v="0"/>
    <x v="0"/>
    <x v="0"/>
  </r>
  <r>
    <n v="59"/>
    <s v="No"/>
    <s v="Non-Travel"/>
    <n v="1420"/>
    <s v="Human Resources"/>
    <n v="2"/>
    <n v="4"/>
    <s v="Human Resources"/>
    <n v="1"/>
    <n v="140"/>
    <n v="3"/>
    <s v="Female"/>
    <n v="32"/>
    <n v="2"/>
    <x v="4"/>
    <s v="Manager"/>
    <n v="4"/>
    <s v="Married"/>
    <x v="102"/>
    <n v="21922"/>
    <n v="9"/>
    <s v="Y"/>
    <s v="No"/>
    <n v="21"/>
    <n v="4"/>
    <n v="4"/>
    <n v="80"/>
    <n v="1"/>
    <n v="30"/>
    <n v="3"/>
    <n v="3"/>
    <n v="3"/>
    <n v="2"/>
    <n v="2"/>
    <n v="2"/>
    <x v="3"/>
    <x v="3"/>
  </r>
  <r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x v="4"/>
    <s v="Research Director"/>
    <n v="2"/>
    <s v="Married"/>
    <x v="103"/>
    <n v="9755"/>
    <n v="3"/>
    <s v="Y"/>
    <s v="Yes"/>
    <n v="19"/>
    <n v="3"/>
    <n v="1"/>
    <n v="80"/>
    <n v="0"/>
    <n v="28"/>
    <n v="1"/>
    <n v="2"/>
    <n v="8"/>
    <n v="3"/>
    <n v="0"/>
    <n v="7"/>
    <x v="1"/>
    <x v="3"/>
  </r>
  <r>
    <n v="25"/>
    <s v="Yes"/>
    <s v="Travel_Rarely"/>
    <n v="240"/>
    <s v="Sales"/>
    <n v="5"/>
    <n v="3"/>
    <s v="Marketing"/>
    <n v="1"/>
    <n v="142"/>
    <n v="3"/>
    <s v="Male"/>
    <n v="46"/>
    <n v="2"/>
    <x v="0"/>
    <s v="Sales Executive"/>
    <n v="3"/>
    <s v="Single"/>
    <x v="104"/>
    <n v="26959"/>
    <n v="1"/>
    <s v="Y"/>
    <s v="Yes"/>
    <n v="11"/>
    <n v="3"/>
    <n v="4"/>
    <n v="80"/>
    <n v="0"/>
    <n v="6"/>
    <n v="1"/>
    <n v="3"/>
    <n v="6"/>
    <n v="4"/>
    <n v="0"/>
    <n v="3"/>
    <x v="4"/>
    <x v="0"/>
  </r>
  <r>
    <n v="25"/>
    <s v="No"/>
    <s v="Travel_Rarely"/>
    <n v="1280"/>
    <s v="Research &amp; Development"/>
    <n v="7"/>
    <n v="1"/>
    <s v="Medical"/>
    <n v="1"/>
    <n v="143"/>
    <n v="4"/>
    <s v="Male"/>
    <n v="64"/>
    <n v="2"/>
    <x v="1"/>
    <s v="Research Scientist"/>
    <n v="4"/>
    <s v="Married"/>
    <x v="105"/>
    <n v="26897"/>
    <n v="1"/>
    <s v="Y"/>
    <s v="No"/>
    <n v="11"/>
    <n v="3"/>
    <n v="3"/>
    <n v="80"/>
    <n v="2"/>
    <n v="2"/>
    <n v="2"/>
    <n v="3"/>
    <n v="2"/>
    <n v="2"/>
    <n v="2"/>
    <n v="1"/>
    <x v="4"/>
    <x v="1"/>
  </r>
  <r>
    <n v="22"/>
    <s v="No"/>
    <s v="Travel_Rarely"/>
    <n v="534"/>
    <s v="Research &amp; Development"/>
    <n v="15"/>
    <n v="3"/>
    <s v="Medical"/>
    <n v="1"/>
    <n v="144"/>
    <n v="2"/>
    <s v="Female"/>
    <n v="59"/>
    <n v="3"/>
    <x v="1"/>
    <s v="Laboratory Technician"/>
    <n v="4"/>
    <s v="Single"/>
    <x v="106"/>
    <n v="23785"/>
    <n v="1"/>
    <s v="Y"/>
    <s v="No"/>
    <n v="15"/>
    <n v="3"/>
    <n v="3"/>
    <n v="80"/>
    <n v="0"/>
    <n v="1"/>
    <n v="5"/>
    <n v="3"/>
    <n v="0"/>
    <n v="0"/>
    <n v="0"/>
    <n v="0"/>
    <x v="4"/>
    <x v="1"/>
  </r>
  <r>
    <n v="51"/>
    <s v="No"/>
    <s v="Travel_Frequently"/>
    <n v="1456"/>
    <s v="Research &amp; Development"/>
    <n v="1"/>
    <n v="4"/>
    <s v="Medical"/>
    <n v="1"/>
    <n v="145"/>
    <n v="1"/>
    <s v="Female"/>
    <n v="30"/>
    <n v="2"/>
    <x v="2"/>
    <s v="Healthcare Representative"/>
    <n v="1"/>
    <s v="Single"/>
    <x v="107"/>
    <n v="25796"/>
    <n v="3"/>
    <s v="Y"/>
    <s v="No"/>
    <n v="20"/>
    <n v="4"/>
    <n v="3"/>
    <n v="80"/>
    <n v="0"/>
    <n v="23"/>
    <n v="1"/>
    <n v="2"/>
    <n v="13"/>
    <n v="12"/>
    <n v="12"/>
    <n v="8"/>
    <x v="1"/>
    <x v="2"/>
  </r>
  <r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x v="0"/>
    <s v="Laboratory Technician"/>
    <n v="3"/>
    <s v="Single"/>
    <x v="108"/>
    <n v="22887"/>
    <n v="1"/>
    <s v="Y"/>
    <s v="Yes"/>
    <n v="24"/>
    <n v="4"/>
    <n v="4"/>
    <n v="80"/>
    <n v="0"/>
    <n v="9"/>
    <n v="3"/>
    <n v="3"/>
    <n v="9"/>
    <n v="7"/>
    <n v="0"/>
    <n v="6"/>
    <x v="2"/>
    <x v="0"/>
  </r>
  <r>
    <n v="54"/>
    <s v="No"/>
    <s v="Non-Travel"/>
    <n v="142"/>
    <s v="Human Resources"/>
    <n v="26"/>
    <n v="3"/>
    <s v="Human Resources"/>
    <n v="1"/>
    <n v="148"/>
    <n v="4"/>
    <s v="Female"/>
    <n v="30"/>
    <n v="4"/>
    <x v="3"/>
    <s v="Manager"/>
    <n v="4"/>
    <s v="Single"/>
    <x v="109"/>
    <n v="13871"/>
    <n v="2"/>
    <s v="Y"/>
    <s v="Yes"/>
    <n v="12"/>
    <n v="3"/>
    <n v="3"/>
    <n v="80"/>
    <n v="0"/>
    <n v="23"/>
    <n v="3"/>
    <n v="3"/>
    <n v="5"/>
    <n v="3"/>
    <n v="4"/>
    <n v="4"/>
    <x v="1"/>
    <x v="3"/>
  </r>
  <r>
    <n v="24"/>
    <s v="No"/>
    <s v="Travel_Rarely"/>
    <n v="1127"/>
    <s v="Research &amp; Development"/>
    <n v="18"/>
    <n v="1"/>
    <s v="Life Sciences"/>
    <n v="1"/>
    <n v="150"/>
    <n v="2"/>
    <s v="Male"/>
    <n v="52"/>
    <n v="3"/>
    <x v="1"/>
    <s v="Laboratory Technician"/>
    <n v="3"/>
    <s v="Married"/>
    <x v="110"/>
    <n v="13257"/>
    <n v="0"/>
    <s v="Y"/>
    <s v="No"/>
    <n v="12"/>
    <n v="3"/>
    <n v="3"/>
    <n v="80"/>
    <n v="1"/>
    <n v="6"/>
    <n v="2"/>
    <n v="3"/>
    <n v="5"/>
    <n v="3"/>
    <n v="1"/>
    <n v="2"/>
    <x v="4"/>
    <x v="1"/>
  </r>
  <r>
    <n v="34"/>
    <s v="No"/>
    <s v="Travel_Rarely"/>
    <n v="1031"/>
    <s v="Research &amp; Development"/>
    <n v="6"/>
    <n v="4"/>
    <s v="Life Sciences"/>
    <n v="1"/>
    <n v="151"/>
    <n v="3"/>
    <s v="Female"/>
    <n v="45"/>
    <n v="2"/>
    <x v="0"/>
    <s v="Research Scientist"/>
    <n v="2"/>
    <s v="Divorced"/>
    <x v="111"/>
    <n v="15000"/>
    <n v="6"/>
    <s v="Y"/>
    <s v="No"/>
    <n v="15"/>
    <n v="3"/>
    <n v="3"/>
    <n v="80"/>
    <n v="1"/>
    <n v="12"/>
    <n v="3"/>
    <n v="3"/>
    <n v="1"/>
    <n v="0"/>
    <n v="0"/>
    <n v="0"/>
    <x v="2"/>
    <x v="0"/>
  </r>
  <r>
    <n v="37"/>
    <s v="No"/>
    <s v="Travel_Rarely"/>
    <n v="1189"/>
    <s v="Sales"/>
    <n v="3"/>
    <n v="3"/>
    <s v="Life Sciences"/>
    <n v="1"/>
    <n v="152"/>
    <n v="3"/>
    <s v="Male"/>
    <n v="87"/>
    <n v="3"/>
    <x v="2"/>
    <s v="Sales Executive"/>
    <n v="4"/>
    <s v="Single"/>
    <x v="112"/>
    <n v="14506"/>
    <n v="2"/>
    <s v="Y"/>
    <s v="No"/>
    <n v="12"/>
    <n v="3"/>
    <n v="1"/>
    <n v="80"/>
    <n v="0"/>
    <n v="12"/>
    <n v="3"/>
    <n v="3"/>
    <n v="5"/>
    <n v="3"/>
    <n v="1"/>
    <n v="3"/>
    <x v="0"/>
    <x v="2"/>
  </r>
  <r>
    <n v="34"/>
    <s v="No"/>
    <s v="Travel_Rarely"/>
    <n v="1354"/>
    <s v="Research &amp; Development"/>
    <n v="5"/>
    <n v="3"/>
    <s v="Medical"/>
    <n v="1"/>
    <n v="153"/>
    <n v="3"/>
    <s v="Female"/>
    <n v="45"/>
    <n v="2"/>
    <x v="2"/>
    <s v="Manager"/>
    <n v="1"/>
    <s v="Single"/>
    <x v="113"/>
    <n v="5615"/>
    <n v="2"/>
    <s v="Y"/>
    <s v="No"/>
    <n v="12"/>
    <n v="3"/>
    <n v="4"/>
    <n v="80"/>
    <n v="0"/>
    <n v="14"/>
    <n v="6"/>
    <n v="3"/>
    <n v="11"/>
    <n v="10"/>
    <n v="5"/>
    <n v="8"/>
    <x v="2"/>
    <x v="2"/>
  </r>
  <r>
    <n v="36"/>
    <s v="No"/>
    <s v="Travel_Frequently"/>
    <n v="1467"/>
    <s v="Sales"/>
    <n v="11"/>
    <n v="2"/>
    <s v="Technical Degree"/>
    <n v="1"/>
    <n v="154"/>
    <n v="2"/>
    <s v="Female"/>
    <n v="92"/>
    <n v="3"/>
    <x v="2"/>
    <s v="Sales Executive"/>
    <n v="4"/>
    <s v="Married"/>
    <x v="114"/>
    <n v="22952"/>
    <n v="0"/>
    <s v="Y"/>
    <s v="No"/>
    <n v="14"/>
    <n v="3"/>
    <n v="3"/>
    <n v="80"/>
    <n v="1"/>
    <n v="10"/>
    <n v="6"/>
    <n v="3"/>
    <n v="9"/>
    <n v="7"/>
    <n v="2"/>
    <n v="8"/>
    <x v="0"/>
    <x v="2"/>
  </r>
  <r>
    <n v="36"/>
    <s v="No"/>
    <s v="Travel_Rarely"/>
    <n v="922"/>
    <s v="Research &amp; Development"/>
    <n v="3"/>
    <n v="2"/>
    <s v="Life Sciences"/>
    <n v="1"/>
    <n v="155"/>
    <n v="1"/>
    <s v="Female"/>
    <n v="39"/>
    <n v="3"/>
    <x v="1"/>
    <s v="Laboratory Technician"/>
    <n v="4"/>
    <s v="Divorced"/>
    <x v="115"/>
    <n v="2561"/>
    <n v="5"/>
    <s v="Y"/>
    <s v="No"/>
    <n v="22"/>
    <n v="4"/>
    <n v="1"/>
    <n v="80"/>
    <n v="1"/>
    <n v="7"/>
    <n v="2"/>
    <n v="3"/>
    <n v="1"/>
    <n v="0"/>
    <n v="0"/>
    <n v="0"/>
    <x v="0"/>
    <x v="1"/>
  </r>
  <r>
    <n v="43"/>
    <s v="No"/>
    <s v="Travel_Frequently"/>
    <n v="394"/>
    <s v="Sales"/>
    <n v="26"/>
    <n v="2"/>
    <s v="Life Sciences"/>
    <n v="1"/>
    <n v="158"/>
    <n v="3"/>
    <s v="Male"/>
    <n v="92"/>
    <n v="3"/>
    <x v="3"/>
    <s v="Manager"/>
    <n v="4"/>
    <s v="Married"/>
    <x v="116"/>
    <n v="19494"/>
    <n v="1"/>
    <s v="Y"/>
    <s v="Yes"/>
    <n v="12"/>
    <n v="3"/>
    <n v="4"/>
    <n v="80"/>
    <n v="2"/>
    <n v="25"/>
    <n v="3"/>
    <n v="4"/>
    <n v="25"/>
    <n v="12"/>
    <n v="4"/>
    <n v="12"/>
    <x v="0"/>
    <x v="3"/>
  </r>
  <r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x v="1"/>
    <s v="Research Scientist"/>
    <n v="3"/>
    <s v="Divorced"/>
    <x v="117"/>
    <n v="22310"/>
    <n v="1"/>
    <s v="Y"/>
    <s v="No"/>
    <n v="25"/>
    <n v="4"/>
    <n v="3"/>
    <n v="80"/>
    <n v="3"/>
    <n v="10"/>
    <n v="2"/>
    <n v="2"/>
    <n v="10"/>
    <n v="7"/>
    <n v="0"/>
    <n v="9"/>
    <x v="2"/>
    <x v="1"/>
  </r>
  <r>
    <n v="33"/>
    <s v="No"/>
    <s v="Non-Travel"/>
    <n v="750"/>
    <s v="Sales"/>
    <n v="22"/>
    <n v="2"/>
    <s v="Marketing"/>
    <n v="1"/>
    <n v="160"/>
    <n v="3"/>
    <s v="Male"/>
    <n v="95"/>
    <n v="3"/>
    <x v="0"/>
    <s v="Sales Executive"/>
    <n v="2"/>
    <s v="Married"/>
    <x v="118"/>
    <n v="15480"/>
    <n v="0"/>
    <s v="Y"/>
    <s v="No"/>
    <n v="13"/>
    <n v="3"/>
    <n v="1"/>
    <n v="80"/>
    <n v="1"/>
    <n v="8"/>
    <n v="2"/>
    <n v="4"/>
    <n v="7"/>
    <n v="7"/>
    <n v="0"/>
    <n v="7"/>
    <x v="2"/>
    <x v="0"/>
  </r>
  <r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x v="1"/>
    <s v="Research Scientist"/>
    <n v="2"/>
    <s v="Married"/>
    <x v="119"/>
    <n v="4510"/>
    <n v="9"/>
    <s v="Y"/>
    <s v="Yes"/>
    <n v="18"/>
    <n v="3"/>
    <n v="1"/>
    <n v="80"/>
    <n v="3"/>
    <n v="7"/>
    <n v="2"/>
    <n v="3"/>
    <n v="5"/>
    <n v="4"/>
    <n v="4"/>
    <n v="3"/>
    <x v="3"/>
    <x v="0"/>
  </r>
  <r>
    <n v="51"/>
    <s v="No"/>
    <s v="Travel_Rarely"/>
    <n v="684"/>
    <s v="Research &amp; Development"/>
    <n v="6"/>
    <n v="3"/>
    <s v="Life Sciences"/>
    <n v="1"/>
    <n v="162"/>
    <n v="1"/>
    <s v="Male"/>
    <n v="51"/>
    <n v="3"/>
    <x v="4"/>
    <s v="Research Director"/>
    <n v="3"/>
    <s v="Single"/>
    <x v="120"/>
    <n v="6462"/>
    <n v="7"/>
    <s v="Y"/>
    <s v="No"/>
    <n v="13"/>
    <n v="3"/>
    <n v="3"/>
    <n v="80"/>
    <n v="0"/>
    <n v="23"/>
    <n v="5"/>
    <n v="3"/>
    <n v="20"/>
    <n v="18"/>
    <n v="15"/>
    <n v="15"/>
    <x v="1"/>
    <x v="3"/>
  </r>
  <r>
    <n v="31"/>
    <s v="Yes"/>
    <s v="Travel_Rarely"/>
    <n v="249"/>
    <s v="Sales"/>
    <n v="6"/>
    <n v="4"/>
    <s v="Life Sciences"/>
    <n v="1"/>
    <n v="163"/>
    <n v="2"/>
    <s v="Male"/>
    <n v="76"/>
    <n v="1"/>
    <x v="0"/>
    <s v="Sales Executive"/>
    <n v="3"/>
    <s v="Married"/>
    <x v="121"/>
    <n v="20739"/>
    <n v="4"/>
    <s v="Y"/>
    <s v="Yes"/>
    <n v="18"/>
    <n v="3"/>
    <n v="2"/>
    <n v="80"/>
    <n v="0"/>
    <n v="12"/>
    <n v="3"/>
    <n v="2"/>
    <n v="7"/>
    <n v="7"/>
    <n v="7"/>
    <n v="7"/>
    <x v="2"/>
    <x v="0"/>
  </r>
  <r>
    <n v="26"/>
    <s v="No"/>
    <s v="Travel_Rarely"/>
    <n v="841"/>
    <s v="Research &amp; Development"/>
    <n v="6"/>
    <n v="3"/>
    <s v="Other"/>
    <n v="1"/>
    <n v="164"/>
    <n v="3"/>
    <s v="Female"/>
    <n v="46"/>
    <n v="2"/>
    <x v="1"/>
    <s v="Research Scientist"/>
    <n v="2"/>
    <s v="Married"/>
    <x v="122"/>
    <n v="23300"/>
    <n v="1"/>
    <s v="Y"/>
    <s v="No"/>
    <n v="19"/>
    <n v="3"/>
    <n v="3"/>
    <n v="80"/>
    <n v="0"/>
    <n v="5"/>
    <n v="3"/>
    <n v="2"/>
    <n v="5"/>
    <n v="4"/>
    <n v="4"/>
    <n v="3"/>
    <x v="2"/>
    <x v="1"/>
  </r>
  <r>
    <n v="58"/>
    <s v="Yes"/>
    <s v="Travel_Rarely"/>
    <n v="147"/>
    <s v="Research &amp; Development"/>
    <n v="23"/>
    <n v="4"/>
    <s v="Medical"/>
    <n v="1"/>
    <n v="165"/>
    <n v="4"/>
    <s v="Female"/>
    <n v="94"/>
    <n v="3"/>
    <x v="2"/>
    <s v="Healthcare Representative"/>
    <n v="4"/>
    <s v="Married"/>
    <x v="123"/>
    <n v="3465"/>
    <n v="1"/>
    <s v="Y"/>
    <s v="No"/>
    <n v="12"/>
    <n v="3"/>
    <n v="4"/>
    <n v="80"/>
    <n v="1"/>
    <n v="40"/>
    <n v="3"/>
    <n v="2"/>
    <n v="40"/>
    <n v="10"/>
    <n v="15"/>
    <n v="6"/>
    <x v="3"/>
    <x v="2"/>
  </r>
  <r>
    <n v="19"/>
    <s v="Yes"/>
    <s v="Travel_Rarely"/>
    <n v="528"/>
    <s v="Sales"/>
    <n v="22"/>
    <n v="1"/>
    <s v="Marketing"/>
    <n v="1"/>
    <n v="167"/>
    <n v="4"/>
    <s v="Male"/>
    <n v="50"/>
    <n v="3"/>
    <x v="1"/>
    <s v="Sales Representative"/>
    <n v="3"/>
    <s v="Single"/>
    <x v="124"/>
    <n v="26820"/>
    <n v="1"/>
    <s v="Y"/>
    <s v="Yes"/>
    <n v="19"/>
    <n v="3"/>
    <n v="4"/>
    <n v="80"/>
    <n v="0"/>
    <n v="0"/>
    <n v="2"/>
    <n v="2"/>
    <n v="0"/>
    <n v="0"/>
    <n v="0"/>
    <n v="0"/>
    <x v="4"/>
    <x v="1"/>
  </r>
  <r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x v="1"/>
    <s v="Laboratory Technician"/>
    <n v="4"/>
    <s v="Married"/>
    <x v="125"/>
    <n v="19299"/>
    <n v="0"/>
    <s v="Y"/>
    <s v="No"/>
    <n v="14"/>
    <n v="3"/>
    <n v="3"/>
    <n v="80"/>
    <n v="1"/>
    <n v="3"/>
    <n v="2"/>
    <n v="3"/>
    <n v="2"/>
    <n v="1"/>
    <n v="2"/>
    <n v="1"/>
    <x v="4"/>
    <x v="1"/>
  </r>
  <r>
    <n v="49"/>
    <s v="No"/>
    <s v="Travel_Rarely"/>
    <n v="470"/>
    <s v="Research &amp; Development"/>
    <n v="20"/>
    <n v="4"/>
    <s v="Medical"/>
    <n v="1"/>
    <n v="170"/>
    <n v="3"/>
    <s v="Female"/>
    <n v="96"/>
    <n v="3"/>
    <x v="0"/>
    <s v="Manufacturing Director"/>
    <n v="1"/>
    <s v="Married"/>
    <x v="126"/>
    <n v="5549"/>
    <n v="1"/>
    <s v="Y"/>
    <s v="No"/>
    <n v="14"/>
    <n v="3"/>
    <n v="3"/>
    <n v="80"/>
    <n v="0"/>
    <n v="16"/>
    <n v="2"/>
    <n v="2"/>
    <n v="15"/>
    <n v="11"/>
    <n v="5"/>
    <n v="11"/>
    <x v="1"/>
    <x v="0"/>
  </r>
  <r>
    <n v="43"/>
    <s v="No"/>
    <s v="Travel_Frequently"/>
    <n v="957"/>
    <s v="Research &amp; Development"/>
    <n v="28"/>
    <n v="3"/>
    <s v="Medical"/>
    <n v="1"/>
    <n v="171"/>
    <n v="2"/>
    <s v="Female"/>
    <n v="72"/>
    <n v="4"/>
    <x v="1"/>
    <s v="Research Scientist"/>
    <n v="3"/>
    <s v="Single"/>
    <x v="127"/>
    <n v="16090"/>
    <n v="4"/>
    <s v="Y"/>
    <s v="No"/>
    <n v="12"/>
    <n v="3"/>
    <n v="4"/>
    <n v="80"/>
    <n v="0"/>
    <n v="18"/>
    <n v="2"/>
    <n v="3"/>
    <n v="3"/>
    <n v="2"/>
    <n v="1"/>
    <n v="2"/>
    <x v="0"/>
    <x v="0"/>
  </r>
  <r>
    <n v="50"/>
    <s v="No"/>
    <s v="Travel_Frequently"/>
    <n v="809"/>
    <s v="Sales"/>
    <n v="12"/>
    <n v="3"/>
    <s v="Marketing"/>
    <n v="1"/>
    <n v="174"/>
    <n v="3"/>
    <s v="Female"/>
    <n v="77"/>
    <n v="3"/>
    <x v="2"/>
    <s v="Sales Executive"/>
    <n v="4"/>
    <s v="Single"/>
    <x v="128"/>
    <n v="6645"/>
    <n v="4"/>
    <s v="Y"/>
    <s v="No"/>
    <n v="11"/>
    <n v="3"/>
    <n v="4"/>
    <n v="80"/>
    <n v="0"/>
    <n v="16"/>
    <n v="3"/>
    <n v="3"/>
    <n v="2"/>
    <n v="2"/>
    <n v="2"/>
    <n v="1"/>
    <x v="1"/>
    <x v="2"/>
  </r>
  <r>
    <n v="31"/>
    <s v="Yes"/>
    <s v="Travel_Rarely"/>
    <n v="542"/>
    <s v="Sales"/>
    <n v="20"/>
    <n v="3"/>
    <s v="Life Sciences"/>
    <n v="1"/>
    <n v="175"/>
    <n v="2"/>
    <s v="Female"/>
    <n v="71"/>
    <n v="1"/>
    <x v="0"/>
    <s v="Sales Executive"/>
    <n v="3"/>
    <s v="Married"/>
    <x v="129"/>
    <n v="24788"/>
    <n v="3"/>
    <s v="Y"/>
    <s v="Yes"/>
    <n v="11"/>
    <n v="3"/>
    <n v="3"/>
    <n v="80"/>
    <n v="1"/>
    <n v="4"/>
    <n v="2"/>
    <n v="3"/>
    <n v="2"/>
    <n v="2"/>
    <n v="2"/>
    <n v="2"/>
    <x v="2"/>
    <x v="0"/>
  </r>
  <r>
    <n v="41"/>
    <s v="No"/>
    <s v="Travel_Rarely"/>
    <n v="802"/>
    <s v="Sales"/>
    <n v="9"/>
    <n v="1"/>
    <s v="Life Sciences"/>
    <n v="1"/>
    <n v="176"/>
    <n v="3"/>
    <s v="Male"/>
    <n v="96"/>
    <n v="3"/>
    <x v="2"/>
    <s v="Sales Executive"/>
    <n v="3"/>
    <s v="Divorced"/>
    <x v="130"/>
    <n v="21196"/>
    <n v="3"/>
    <s v="Y"/>
    <s v="Yes"/>
    <n v="13"/>
    <n v="3"/>
    <n v="3"/>
    <n v="80"/>
    <n v="1"/>
    <n v="12"/>
    <n v="2"/>
    <n v="3"/>
    <n v="9"/>
    <n v="7"/>
    <n v="0"/>
    <n v="7"/>
    <x v="0"/>
    <x v="2"/>
  </r>
  <r>
    <n v="26"/>
    <s v="No"/>
    <s v="Travel_Rarely"/>
    <n v="1355"/>
    <s v="Human Resources"/>
    <n v="25"/>
    <n v="1"/>
    <s v="Life Sciences"/>
    <n v="1"/>
    <n v="177"/>
    <n v="3"/>
    <s v="Female"/>
    <n v="61"/>
    <n v="3"/>
    <x v="1"/>
    <s v="Human Resources"/>
    <n v="3"/>
    <s v="Married"/>
    <x v="131"/>
    <n v="8916"/>
    <n v="1"/>
    <s v="Y"/>
    <s v="No"/>
    <n v="23"/>
    <n v="4"/>
    <n v="4"/>
    <n v="80"/>
    <n v="1"/>
    <n v="8"/>
    <n v="3"/>
    <n v="3"/>
    <n v="8"/>
    <n v="7"/>
    <n v="5"/>
    <n v="7"/>
    <x v="2"/>
    <x v="1"/>
  </r>
  <r>
    <n v="36"/>
    <s v="No"/>
    <s v="Travel_Rarely"/>
    <n v="216"/>
    <s v="Research &amp; Development"/>
    <n v="6"/>
    <n v="2"/>
    <s v="Medical"/>
    <n v="1"/>
    <n v="178"/>
    <n v="2"/>
    <s v="Male"/>
    <n v="84"/>
    <n v="3"/>
    <x v="0"/>
    <s v="Manufacturing Director"/>
    <n v="2"/>
    <s v="Divorced"/>
    <x v="132"/>
    <n v="2819"/>
    <n v="6"/>
    <s v="Y"/>
    <s v="No"/>
    <n v="20"/>
    <n v="4"/>
    <n v="4"/>
    <n v="80"/>
    <n v="2"/>
    <n v="7"/>
    <n v="0"/>
    <n v="3"/>
    <n v="3"/>
    <n v="2"/>
    <n v="0"/>
    <n v="1"/>
    <x v="0"/>
    <x v="0"/>
  </r>
  <r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x v="2"/>
    <s v="Manufacturing Director"/>
    <n v="4"/>
    <s v="Single"/>
    <x v="133"/>
    <n v="25150"/>
    <n v="2"/>
    <s v="Y"/>
    <s v="No"/>
    <n v="15"/>
    <n v="3"/>
    <n v="4"/>
    <n v="80"/>
    <n v="0"/>
    <n v="18"/>
    <n v="2"/>
    <n v="3"/>
    <n v="4"/>
    <n v="2"/>
    <n v="0"/>
    <n v="3"/>
    <x v="1"/>
    <x v="2"/>
  </r>
  <r>
    <n v="39"/>
    <s v="No"/>
    <s v="Travel_Rarely"/>
    <n v="1329"/>
    <s v="Sales"/>
    <n v="4"/>
    <n v="4"/>
    <s v="Life Sciences"/>
    <n v="1"/>
    <n v="182"/>
    <n v="4"/>
    <s v="Female"/>
    <n v="47"/>
    <n v="2"/>
    <x v="0"/>
    <s v="Sales Executive"/>
    <n v="3"/>
    <s v="Married"/>
    <x v="134"/>
    <n v="14590"/>
    <n v="4"/>
    <s v="Y"/>
    <s v="No"/>
    <n v="14"/>
    <n v="3"/>
    <n v="3"/>
    <n v="80"/>
    <n v="1"/>
    <n v="17"/>
    <n v="1"/>
    <n v="4"/>
    <n v="15"/>
    <n v="11"/>
    <n v="5"/>
    <n v="9"/>
    <x v="0"/>
    <x v="0"/>
  </r>
  <r>
    <n v="25"/>
    <s v="No"/>
    <s v="Travel_Rarely"/>
    <n v="959"/>
    <s v="Sales"/>
    <n v="28"/>
    <n v="3"/>
    <s v="Life Sciences"/>
    <n v="1"/>
    <n v="183"/>
    <n v="1"/>
    <s v="Male"/>
    <n v="41"/>
    <n v="2"/>
    <x v="0"/>
    <s v="Sales Executive"/>
    <n v="3"/>
    <s v="Married"/>
    <x v="135"/>
    <n v="24835"/>
    <n v="2"/>
    <s v="Y"/>
    <s v="No"/>
    <n v="18"/>
    <n v="3"/>
    <n v="4"/>
    <n v="80"/>
    <n v="0"/>
    <n v="6"/>
    <n v="3"/>
    <n v="3"/>
    <n v="2"/>
    <n v="2"/>
    <n v="2"/>
    <n v="2"/>
    <x v="4"/>
    <x v="2"/>
  </r>
  <r>
    <n v="30"/>
    <s v="No"/>
    <s v="Travel_Rarely"/>
    <n v="1240"/>
    <s v="Human Resources"/>
    <n v="9"/>
    <n v="3"/>
    <s v="Human Resources"/>
    <n v="1"/>
    <n v="184"/>
    <n v="3"/>
    <s v="Male"/>
    <n v="48"/>
    <n v="3"/>
    <x v="0"/>
    <s v="Human Resources"/>
    <n v="4"/>
    <s v="Married"/>
    <x v="136"/>
    <n v="13982"/>
    <n v="0"/>
    <s v="Y"/>
    <s v="Yes"/>
    <n v="19"/>
    <n v="3"/>
    <n v="4"/>
    <n v="80"/>
    <n v="0"/>
    <n v="12"/>
    <n v="2"/>
    <n v="1"/>
    <n v="11"/>
    <n v="9"/>
    <n v="4"/>
    <n v="7"/>
    <x v="2"/>
    <x v="0"/>
  </r>
  <r>
    <n v="32"/>
    <s v="Yes"/>
    <s v="Travel_Rarely"/>
    <n v="1033"/>
    <s v="Research &amp; Development"/>
    <n v="9"/>
    <n v="3"/>
    <s v="Medical"/>
    <n v="1"/>
    <n v="190"/>
    <n v="1"/>
    <s v="Female"/>
    <n v="41"/>
    <n v="3"/>
    <x v="1"/>
    <s v="Laboratory Technician"/>
    <n v="1"/>
    <s v="Single"/>
    <x v="137"/>
    <n v="10224"/>
    <n v="7"/>
    <s v="Y"/>
    <s v="No"/>
    <n v="22"/>
    <n v="4"/>
    <n v="1"/>
    <n v="80"/>
    <n v="0"/>
    <n v="10"/>
    <n v="2"/>
    <n v="4"/>
    <n v="5"/>
    <n v="4"/>
    <n v="0"/>
    <n v="4"/>
    <x v="2"/>
    <x v="0"/>
  </r>
  <r>
    <n v="45"/>
    <s v="No"/>
    <s v="Travel_Rarely"/>
    <n v="1316"/>
    <s v="Research &amp; Development"/>
    <n v="29"/>
    <n v="3"/>
    <s v="Medical"/>
    <n v="1"/>
    <n v="192"/>
    <n v="3"/>
    <s v="Male"/>
    <n v="83"/>
    <n v="3"/>
    <x v="1"/>
    <s v="Research Scientist"/>
    <n v="4"/>
    <s v="Single"/>
    <x v="138"/>
    <n v="9752"/>
    <n v="5"/>
    <s v="Y"/>
    <s v="No"/>
    <n v="13"/>
    <n v="3"/>
    <n v="2"/>
    <n v="80"/>
    <n v="0"/>
    <n v="9"/>
    <n v="2"/>
    <n v="2"/>
    <n v="6"/>
    <n v="5"/>
    <n v="0"/>
    <n v="3"/>
    <x v="0"/>
    <x v="0"/>
  </r>
  <r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x v="0"/>
    <s v="Research Scientist"/>
    <n v="3"/>
    <s v="Single"/>
    <x v="139"/>
    <n v="2302"/>
    <n v="3"/>
    <s v="Y"/>
    <s v="Yes"/>
    <n v="20"/>
    <n v="4"/>
    <n v="2"/>
    <n v="80"/>
    <n v="0"/>
    <n v="19"/>
    <n v="2"/>
    <n v="3"/>
    <n v="3"/>
    <n v="2"/>
    <n v="2"/>
    <n v="2"/>
    <x v="0"/>
    <x v="0"/>
  </r>
  <r>
    <n v="30"/>
    <s v="No"/>
    <s v="Travel_Rarely"/>
    <n v="438"/>
    <s v="Research &amp; Development"/>
    <n v="18"/>
    <n v="3"/>
    <s v="Life Sciences"/>
    <n v="1"/>
    <n v="194"/>
    <n v="1"/>
    <s v="Female"/>
    <n v="75"/>
    <n v="3"/>
    <x v="1"/>
    <s v="Research Scientist"/>
    <n v="3"/>
    <s v="Single"/>
    <x v="140"/>
    <n v="23910"/>
    <n v="1"/>
    <s v="Y"/>
    <s v="No"/>
    <n v="14"/>
    <n v="3"/>
    <n v="3"/>
    <n v="80"/>
    <n v="0"/>
    <n v="5"/>
    <n v="4"/>
    <n v="2"/>
    <n v="5"/>
    <n v="4"/>
    <n v="0"/>
    <n v="4"/>
    <x v="2"/>
    <x v="1"/>
  </r>
  <r>
    <n v="32"/>
    <s v="No"/>
    <s v="Travel_Frequently"/>
    <n v="689"/>
    <s v="Sales"/>
    <n v="9"/>
    <n v="2"/>
    <s v="Medical"/>
    <n v="1"/>
    <n v="195"/>
    <n v="4"/>
    <s v="Male"/>
    <n v="35"/>
    <n v="1"/>
    <x v="0"/>
    <s v="Sales Executive"/>
    <n v="4"/>
    <s v="Divorced"/>
    <x v="141"/>
    <n v="22812"/>
    <n v="0"/>
    <s v="Y"/>
    <s v="No"/>
    <n v="17"/>
    <n v="3"/>
    <n v="4"/>
    <n v="80"/>
    <n v="3"/>
    <n v="9"/>
    <n v="2"/>
    <n v="4"/>
    <n v="8"/>
    <n v="7"/>
    <n v="0"/>
    <n v="7"/>
    <x v="2"/>
    <x v="0"/>
  </r>
  <r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x v="1"/>
    <s v="Research Scientist"/>
    <n v="1"/>
    <s v="Divorced"/>
    <x v="142"/>
    <n v="10415"/>
    <n v="5"/>
    <s v="Y"/>
    <s v="No"/>
    <n v="14"/>
    <n v="3"/>
    <n v="4"/>
    <n v="80"/>
    <n v="1"/>
    <n v="8"/>
    <n v="3"/>
    <n v="3"/>
    <n v="3"/>
    <n v="2"/>
    <n v="2"/>
    <n v="2"/>
    <x v="2"/>
    <x v="0"/>
  </r>
  <r>
    <n v="30"/>
    <s v="No"/>
    <s v="Travel_Rarely"/>
    <n v="1427"/>
    <s v="Research &amp; Development"/>
    <n v="2"/>
    <n v="1"/>
    <s v="Medical"/>
    <n v="1"/>
    <n v="198"/>
    <n v="2"/>
    <s v="Male"/>
    <n v="35"/>
    <n v="2"/>
    <x v="1"/>
    <s v="Laboratory Technician"/>
    <n v="4"/>
    <s v="Single"/>
    <x v="143"/>
    <n v="11162"/>
    <n v="0"/>
    <s v="Y"/>
    <s v="No"/>
    <n v="13"/>
    <n v="3"/>
    <n v="4"/>
    <n v="80"/>
    <n v="0"/>
    <n v="6"/>
    <n v="3"/>
    <n v="3"/>
    <n v="5"/>
    <n v="3"/>
    <n v="1"/>
    <n v="2"/>
    <x v="2"/>
    <x v="1"/>
  </r>
  <r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x v="3"/>
    <s v="Manager"/>
    <n v="1"/>
    <s v="Divorced"/>
    <x v="144"/>
    <n v="12888"/>
    <n v="4"/>
    <s v="Y"/>
    <s v="No"/>
    <n v="13"/>
    <n v="3"/>
    <n v="2"/>
    <n v="80"/>
    <n v="1"/>
    <n v="21"/>
    <n v="2"/>
    <n v="2"/>
    <n v="7"/>
    <n v="6"/>
    <n v="7"/>
    <n v="7"/>
    <x v="0"/>
    <x v="3"/>
  </r>
  <r>
    <n v="41"/>
    <s v="No"/>
    <s v="Travel_Rarely"/>
    <n v="933"/>
    <s v="Research &amp; Development"/>
    <n v="9"/>
    <n v="4"/>
    <s v="Life Sciences"/>
    <n v="1"/>
    <n v="200"/>
    <n v="3"/>
    <s v="Male"/>
    <n v="94"/>
    <n v="3"/>
    <x v="1"/>
    <s v="Laboratory Technician"/>
    <n v="1"/>
    <s v="Married"/>
    <x v="145"/>
    <n v="6961"/>
    <n v="2"/>
    <s v="Y"/>
    <s v="No"/>
    <n v="21"/>
    <n v="4"/>
    <n v="4"/>
    <n v="80"/>
    <n v="1"/>
    <n v="7"/>
    <n v="2"/>
    <n v="3"/>
    <n v="5"/>
    <n v="0"/>
    <n v="1"/>
    <n v="4"/>
    <x v="0"/>
    <x v="1"/>
  </r>
  <r>
    <n v="19"/>
    <s v="No"/>
    <s v="Travel_Rarely"/>
    <n v="1181"/>
    <s v="Research &amp; Development"/>
    <n v="3"/>
    <n v="1"/>
    <s v="Medical"/>
    <n v="1"/>
    <n v="201"/>
    <n v="2"/>
    <s v="Female"/>
    <n v="79"/>
    <n v="3"/>
    <x v="1"/>
    <s v="Laboratory Technician"/>
    <n v="2"/>
    <s v="Single"/>
    <x v="146"/>
    <n v="16102"/>
    <n v="1"/>
    <s v="Y"/>
    <s v="No"/>
    <n v="14"/>
    <n v="3"/>
    <n v="4"/>
    <n v="80"/>
    <n v="0"/>
    <n v="1"/>
    <n v="3"/>
    <n v="3"/>
    <n v="1"/>
    <n v="0"/>
    <n v="0"/>
    <n v="0"/>
    <x v="4"/>
    <x v="1"/>
  </r>
  <r>
    <n v="40"/>
    <s v="No"/>
    <s v="Travel_Frequently"/>
    <n v="1395"/>
    <s v="Research &amp; Development"/>
    <n v="26"/>
    <n v="3"/>
    <s v="Medical"/>
    <n v="1"/>
    <n v="202"/>
    <n v="2"/>
    <s v="Female"/>
    <n v="54"/>
    <n v="3"/>
    <x v="0"/>
    <s v="Research Scientist"/>
    <n v="2"/>
    <s v="Divorced"/>
    <x v="147"/>
    <n v="8504"/>
    <n v="1"/>
    <s v="Y"/>
    <s v="No"/>
    <n v="11"/>
    <n v="3"/>
    <n v="1"/>
    <n v="80"/>
    <n v="1"/>
    <n v="20"/>
    <n v="2"/>
    <n v="3"/>
    <n v="20"/>
    <n v="7"/>
    <n v="2"/>
    <n v="13"/>
    <x v="0"/>
    <x v="0"/>
  </r>
  <r>
    <n v="35"/>
    <s v="No"/>
    <s v="Travel_Rarely"/>
    <n v="662"/>
    <s v="Sales"/>
    <n v="1"/>
    <n v="5"/>
    <s v="Marketing"/>
    <n v="1"/>
    <n v="204"/>
    <n v="3"/>
    <s v="Male"/>
    <n v="94"/>
    <n v="3"/>
    <x v="2"/>
    <s v="Sales Executive"/>
    <n v="2"/>
    <s v="Married"/>
    <x v="148"/>
    <n v="11439"/>
    <n v="1"/>
    <s v="Y"/>
    <s v="No"/>
    <n v="13"/>
    <n v="3"/>
    <n v="1"/>
    <n v="80"/>
    <n v="2"/>
    <n v="10"/>
    <n v="3"/>
    <n v="3"/>
    <n v="10"/>
    <n v="8"/>
    <n v="0"/>
    <n v="6"/>
    <x v="2"/>
    <x v="2"/>
  </r>
  <r>
    <n v="53"/>
    <s v="No"/>
    <s v="Travel_Rarely"/>
    <n v="1436"/>
    <s v="Sales"/>
    <n v="6"/>
    <n v="2"/>
    <s v="Marketing"/>
    <n v="1"/>
    <n v="205"/>
    <n v="2"/>
    <s v="Male"/>
    <n v="34"/>
    <n v="3"/>
    <x v="0"/>
    <s v="Sales Representative"/>
    <n v="3"/>
    <s v="Married"/>
    <x v="149"/>
    <n v="16047"/>
    <n v="2"/>
    <s v="Y"/>
    <s v="Yes"/>
    <n v="20"/>
    <n v="4"/>
    <n v="4"/>
    <n v="80"/>
    <n v="1"/>
    <n v="13"/>
    <n v="3"/>
    <n v="1"/>
    <n v="7"/>
    <n v="7"/>
    <n v="4"/>
    <n v="5"/>
    <x v="1"/>
    <x v="1"/>
  </r>
  <r>
    <n v="45"/>
    <s v="No"/>
    <s v="Travel_Rarely"/>
    <n v="194"/>
    <s v="Research &amp; Development"/>
    <n v="9"/>
    <n v="3"/>
    <s v="Life Sciences"/>
    <n v="1"/>
    <n v="206"/>
    <n v="2"/>
    <s v="Male"/>
    <n v="60"/>
    <n v="3"/>
    <x v="0"/>
    <s v="Laboratory Technician"/>
    <n v="2"/>
    <s v="Divorced"/>
    <x v="150"/>
    <n v="10901"/>
    <n v="8"/>
    <s v="Y"/>
    <s v="No"/>
    <n v="18"/>
    <n v="3"/>
    <n v="3"/>
    <n v="80"/>
    <n v="1"/>
    <n v="20"/>
    <n v="2"/>
    <n v="1"/>
    <n v="17"/>
    <n v="9"/>
    <n v="0"/>
    <n v="15"/>
    <x v="0"/>
    <x v="1"/>
  </r>
  <r>
    <n v="32"/>
    <s v="No"/>
    <s v="Travel_Frequently"/>
    <n v="967"/>
    <s v="Sales"/>
    <n v="8"/>
    <n v="3"/>
    <s v="Marketing"/>
    <n v="1"/>
    <n v="207"/>
    <n v="2"/>
    <s v="Female"/>
    <n v="43"/>
    <n v="3"/>
    <x v="2"/>
    <s v="Sales Executive"/>
    <n v="4"/>
    <s v="Single"/>
    <x v="151"/>
    <n v="15589"/>
    <n v="1"/>
    <s v="Y"/>
    <s v="No"/>
    <n v="14"/>
    <n v="3"/>
    <n v="4"/>
    <n v="80"/>
    <n v="0"/>
    <n v="9"/>
    <n v="2"/>
    <n v="3"/>
    <n v="9"/>
    <n v="8"/>
    <n v="3"/>
    <n v="7"/>
    <x v="2"/>
    <x v="2"/>
  </r>
  <r>
    <n v="29"/>
    <s v="No"/>
    <s v="Non-Travel"/>
    <n v="1496"/>
    <s v="Research &amp; Development"/>
    <n v="1"/>
    <n v="1"/>
    <s v="Technical Degree"/>
    <n v="1"/>
    <n v="208"/>
    <n v="4"/>
    <s v="Male"/>
    <n v="41"/>
    <n v="3"/>
    <x v="0"/>
    <s v="Manufacturing Director"/>
    <n v="3"/>
    <s v="Married"/>
    <x v="152"/>
    <n v="26283"/>
    <n v="1"/>
    <s v="Y"/>
    <s v="No"/>
    <n v="13"/>
    <n v="3"/>
    <n v="1"/>
    <n v="80"/>
    <n v="1"/>
    <n v="10"/>
    <n v="1"/>
    <n v="3"/>
    <n v="10"/>
    <n v="7"/>
    <n v="0"/>
    <n v="9"/>
    <x v="2"/>
    <x v="0"/>
  </r>
  <r>
    <n v="51"/>
    <s v="No"/>
    <s v="Travel_Rarely"/>
    <n v="1169"/>
    <s v="Research &amp; Development"/>
    <n v="7"/>
    <n v="4"/>
    <s v="Medical"/>
    <n v="1"/>
    <n v="211"/>
    <n v="2"/>
    <s v="Male"/>
    <n v="34"/>
    <n v="2"/>
    <x v="0"/>
    <s v="Manufacturing Director"/>
    <n v="3"/>
    <s v="Married"/>
    <x v="153"/>
    <n v="13983"/>
    <n v="2"/>
    <s v="Y"/>
    <s v="No"/>
    <n v="17"/>
    <n v="3"/>
    <n v="3"/>
    <n v="80"/>
    <n v="0"/>
    <n v="10"/>
    <n v="2"/>
    <n v="3"/>
    <n v="1"/>
    <n v="0"/>
    <n v="0"/>
    <n v="0"/>
    <x v="1"/>
    <x v="0"/>
  </r>
  <r>
    <n v="58"/>
    <s v="No"/>
    <s v="Travel_Rarely"/>
    <n v="1145"/>
    <s v="Research &amp; Development"/>
    <n v="9"/>
    <n v="3"/>
    <s v="Medical"/>
    <n v="1"/>
    <n v="214"/>
    <n v="2"/>
    <s v="Female"/>
    <n v="75"/>
    <n v="2"/>
    <x v="1"/>
    <s v="Research Scientist"/>
    <n v="2"/>
    <s v="Married"/>
    <x v="154"/>
    <n v="11873"/>
    <n v="4"/>
    <s v="Y"/>
    <s v="Yes"/>
    <n v="20"/>
    <n v="4"/>
    <n v="2"/>
    <n v="80"/>
    <n v="1"/>
    <n v="9"/>
    <n v="3"/>
    <n v="2"/>
    <n v="1"/>
    <n v="0"/>
    <n v="0"/>
    <n v="0"/>
    <x v="3"/>
    <x v="0"/>
  </r>
  <r>
    <n v="40"/>
    <s v="No"/>
    <s v="Travel_Rarely"/>
    <n v="630"/>
    <s v="Sales"/>
    <n v="4"/>
    <n v="4"/>
    <s v="Marketing"/>
    <n v="1"/>
    <n v="215"/>
    <n v="3"/>
    <s v="Male"/>
    <n v="67"/>
    <n v="2"/>
    <x v="2"/>
    <s v="Sales Executive"/>
    <n v="4"/>
    <s v="Married"/>
    <x v="155"/>
    <n v="8552"/>
    <n v="7"/>
    <s v="Y"/>
    <s v="No"/>
    <n v="11"/>
    <n v="3"/>
    <n v="1"/>
    <n v="80"/>
    <n v="1"/>
    <n v="15"/>
    <n v="2"/>
    <n v="2"/>
    <n v="12"/>
    <n v="11"/>
    <n v="2"/>
    <n v="11"/>
    <x v="0"/>
    <x v="2"/>
  </r>
  <r>
    <n v="34"/>
    <s v="No"/>
    <s v="Travel_Frequently"/>
    <n v="303"/>
    <s v="Sales"/>
    <n v="2"/>
    <n v="4"/>
    <s v="Marketing"/>
    <n v="1"/>
    <n v="216"/>
    <n v="3"/>
    <s v="Female"/>
    <n v="75"/>
    <n v="3"/>
    <x v="1"/>
    <s v="Sales Representative"/>
    <n v="3"/>
    <s v="Married"/>
    <x v="156"/>
    <n v="11314"/>
    <n v="6"/>
    <s v="Y"/>
    <s v="No"/>
    <n v="18"/>
    <n v="3"/>
    <n v="4"/>
    <n v="80"/>
    <n v="1"/>
    <n v="6"/>
    <n v="3"/>
    <n v="3"/>
    <n v="4"/>
    <n v="3"/>
    <n v="1"/>
    <n v="2"/>
    <x v="2"/>
    <x v="1"/>
  </r>
  <r>
    <n v="22"/>
    <s v="No"/>
    <s v="Travel_Rarely"/>
    <n v="1256"/>
    <s v="Research &amp; Development"/>
    <n v="19"/>
    <n v="1"/>
    <s v="Medical"/>
    <n v="1"/>
    <n v="217"/>
    <n v="3"/>
    <s v="Male"/>
    <n v="80"/>
    <n v="3"/>
    <x v="1"/>
    <s v="Research Scientist"/>
    <n v="4"/>
    <s v="Married"/>
    <x v="157"/>
    <n v="11992"/>
    <n v="1"/>
    <s v="Y"/>
    <s v="No"/>
    <n v="24"/>
    <n v="4"/>
    <n v="1"/>
    <n v="80"/>
    <n v="2"/>
    <n v="2"/>
    <n v="6"/>
    <n v="3"/>
    <n v="2"/>
    <n v="2"/>
    <n v="2"/>
    <n v="2"/>
    <x v="4"/>
    <x v="1"/>
  </r>
  <r>
    <n v="27"/>
    <s v="No"/>
    <s v="Non-Travel"/>
    <n v="691"/>
    <s v="Research &amp; Development"/>
    <n v="9"/>
    <n v="3"/>
    <s v="Medical"/>
    <n v="1"/>
    <n v="218"/>
    <n v="4"/>
    <s v="Male"/>
    <n v="57"/>
    <n v="3"/>
    <x v="1"/>
    <s v="Research Scientist"/>
    <n v="2"/>
    <s v="Divorced"/>
    <x v="158"/>
    <n v="5970"/>
    <n v="6"/>
    <s v="Y"/>
    <s v="No"/>
    <n v="18"/>
    <n v="3"/>
    <n v="4"/>
    <n v="80"/>
    <n v="1"/>
    <n v="6"/>
    <n v="1"/>
    <n v="1"/>
    <n v="2"/>
    <n v="2"/>
    <n v="2"/>
    <n v="2"/>
    <x v="2"/>
    <x v="1"/>
  </r>
  <r>
    <n v="28"/>
    <s v="No"/>
    <s v="Travel_Rarely"/>
    <n v="440"/>
    <s v="Research &amp; Development"/>
    <n v="21"/>
    <n v="3"/>
    <s v="Medical"/>
    <n v="1"/>
    <n v="221"/>
    <n v="3"/>
    <s v="Male"/>
    <n v="42"/>
    <n v="3"/>
    <x v="1"/>
    <s v="Research Scientist"/>
    <n v="4"/>
    <s v="Married"/>
    <x v="159"/>
    <n v="6672"/>
    <n v="1"/>
    <s v="Y"/>
    <s v="No"/>
    <n v="11"/>
    <n v="3"/>
    <n v="3"/>
    <n v="80"/>
    <n v="1"/>
    <n v="5"/>
    <n v="2"/>
    <n v="1"/>
    <n v="5"/>
    <n v="2"/>
    <n v="0"/>
    <n v="2"/>
    <x v="2"/>
    <x v="1"/>
  </r>
  <r>
    <n v="57"/>
    <s v="No"/>
    <s v="Travel_Rarely"/>
    <n v="334"/>
    <s v="Research &amp; Development"/>
    <n v="24"/>
    <n v="2"/>
    <s v="Life Sciences"/>
    <n v="1"/>
    <n v="223"/>
    <n v="3"/>
    <s v="Male"/>
    <n v="83"/>
    <n v="4"/>
    <x v="2"/>
    <s v="Healthcare Representative"/>
    <n v="4"/>
    <s v="Divorced"/>
    <x v="160"/>
    <n v="23402"/>
    <n v="3"/>
    <s v="Y"/>
    <s v="Yes"/>
    <n v="16"/>
    <n v="3"/>
    <n v="2"/>
    <n v="80"/>
    <n v="1"/>
    <n v="12"/>
    <n v="2"/>
    <n v="1"/>
    <n v="5"/>
    <n v="3"/>
    <n v="1"/>
    <n v="4"/>
    <x v="3"/>
    <x v="2"/>
  </r>
  <r>
    <n v="27"/>
    <s v="No"/>
    <s v="Non-Travel"/>
    <n v="1450"/>
    <s v="Research &amp; Development"/>
    <n v="3"/>
    <n v="3"/>
    <s v="Medical"/>
    <n v="1"/>
    <n v="224"/>
    <n v="3"/>
    <s v="Male"/>
    <n v="79"/>
    <n v="2"/>
    <x v="1"/>
    <s v="Research Scientist"/>
    <n v="3"/>
    <s v="Divorced"/>
    <x v="161"/>
    <n v="25326"/>
    <n v="1"/>
    <s v="Y"/>
    <s v="Yes"/>
    <n v="15"/>
    <n v="3"/>
    <n v="4"/>
    <n v="80"/>
    <n v="1"/>
    <n v="1"/>
    <n v="2"/>
    <n v="2"/>
    <n v="1"/>
    <n v="1"/>
    <n v="0"/>
    <n v="1"/>
    <x v="2"/>
    <x v="1"/>
  </r>
  <r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x v="4"/>
    <s v="Manager"/>
    <n v="2"/>
    <s v="Single"/>
    <x v="162"/>
    <n v="17053"/>
    <n v="3"/>
    <s v="Y"/>
    <s v="No"/>
    <n v="15"/>
    <n v="3"/>
    <n v="2"/>
    <n v="80"/>
    <n v="0"/>
    <n v="21"/>
    <n v="5"/>
    <n v="3"/>
    <n v="5"/>
    <n v="4"/>
    <n v="4"/>
    <n v="4"/>
    <x v="1"/>
    <x v="3"/>
  </r>
  <r>
    <n v="41"/>
    <s v="No"/>
    <s v="Travel_Rarely"/>
    <n v="465"/>
    <s v="Research &amp; Development"/>
    <n v="14"/>
    <n v="3"/>
    <s v="Life Sciences"/>
    <n v="1"/>
    <n v="227"/>
    <n v="1"/>
    <s v="Male"/>
    <n v="56"/>
    <n v="3"/>
    <x v="1"/>
    <s v="Research Scientist"/>
    <n v="3"/>
    <s v="Divorced"/>
    <x v="163"/>
    <n v="4609"/>
    <n v="4"/>
    <s v="Y"/>
    <s v="No"/>
    <n v="12"/>
    <n v="3"/>
    <n v="1"/>
    <n v="80"/>
    <n v="1"/>
    <n v="13"/>
    <n v="2"/>
    <n v="3"/>
    <n v="9"/>
    <n v="8"/>
    <n v="1"/>
    <n v="8"/>
    <x v="0"/>
    <x v="1"/>
  </r>
  <r>
    <n v="30"/>
    <s v="No"/>
    <s v="Travel_Rarely"/>
    <n v="1339"/>
    <s v="Sales"/>
    <n v="5"/>
    <n v="3"/>
    <s v="Life Sciences"/>
    <n v="1"/>
    <n v="228"/>
    <n v="2"/>
    <s v="Female"/>
    <n v="41"/>
    <n v="3"/>
    <x v="2"/>
    <s v="Sales Executive"/>
    <n v="4"/>
    <s v="Married"/>
    <x v="164"/>
    <n v="8053"/>
    <n v="2"/>
    <s v="Y"/>
    <s v="No"/>
    <n v="12"/>
    <n v="3"/>
    <n v="3"/>
    <n v="80"/>
    <n v="1"/>
    <n v="12"/>
    <n v="2"/>
    <n v="3"/>
    <n v="10"/>
    <n v="9"/>
    <n v="7"/>
    <n v="4"/>
    <x v="2"/>
    <x v="2"/>
  </r>
  <r>
    <n v="38"/>
    <s v="No"/>
    <s v="Travel_Rarely"/>
    <n v="702"/>
    <s v="Sales"/>
    <n v="1"/>
    <n v="4"/>
    <s v="Life Sciences"/>
    <n v="1"/>
    <n v="230"/>
    <n v="1"/>
    <s v="Female"/>
    <n v="59"/>
    <n v="2"/>
    <x v="0"/>
    <s v="Sales Executive"/>
    <n v="4"/>
    <s v="Single"/>
    <x v="165"/>
    <n v="12930"/>
    <n v="4"/>
    <s v="Y"/>
    <s v="No"/>
    <n v="22"/>
    <n v="4"/>
    <n v="3"/>
    <n v="80"/>
    <n v="0"/>
    <n v="12"/>
    <n v="2"/>
    <n v="4"/>
    <n v="8"/>
    <n v="3"/>
    <n v="0"/>
    <n v="7"/>
    <x v="0"/>
    <x v="2"/>
  </r>
  <r>
    <n v="32"/>
    <s v="No"/>
    <s v="Travel_Rarely"/>
    <n v="120"/>
    <s v="Research &amp; Development"/>
    <n v="6"/>
    <n v="5"/>
    <s v="Life Sciences"/>
    <n v="1"/>
    <n v="231"/>
    <n v="3"/>
    <s v="Male"/>
    <n v="43"/>
    <n v="3"/>
    <x v="1"/>
    <s v="Research Scientist"/>
    <n v="3"/>
    <s v="Single"/>
    <x v="71"/>
    <n v="12430"/>
    <n v="3"/>
    <s v="Y"/>
    <s v="No"/>
    <n v="20"/>
    <n v="4"/>
    <n v="1"/>
    <n v="80"/>
    <n v="0"/>
    <n v="8"/>
    <n v="2"/>
    <n v="3"/>
    <n v="5"/>
    <n v="4"/>
    <n v="1"/>
    <n v="4"/>
    <x v="2"/>
    <x v="0"/>
  </r>
  <r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x v="1"/>
    <s v="Research Scientist"/>
    <n v="2"/>
    <s v="Married"/>
    <x v="166"/>
    <n v="13364"/>
    <n v="0"/>
    <s v="Y"/>
    <s v="Yes"/>
    <n v="16"/>
    <n v="3"/>
    <n v="4"/>
    <n v="80"/>
    <n v="1"/>
    <n v="6"/>
    <n v="3"/>
    <n v="2"/>
    <n v="5"/>
    <n v="2"/>
    <n v="1"/>
    <n v="1"/>
    <x v="2"/>
    <x v="0"/>
  </r>
  <r>
    <n v="19"/>
    <s v="Yes"/>
    <s v="Travel_Frequently"/>
    <n v="602"/>
    <s v="Sales"/>
    <n v="1"/>
    <n v="1"/>
    <s v="Technical Degree"/>
    <n v="1"/>
    <n v="235"/>
    <n v="3"/>
    <s v="Female"/>
    <n v="100"/>
    <n v="1"/>
    <x v="1"/>
    <s v="Sales Representative"/>
    <n v="1"/>
    <s v="Single"/>
    <x v="167"/>
    <n v="20989"/>
    <n v="0"/>
    <s v="Y"/>
    <s v="No"/>
    <n v="21"/>
    <n v="4"/>
    <n v="1"/>
    <n v="80"/>
    <n v="0"/>
    <n v="1"/>
    <n v="5"/>
    <n v="4"/>
    <n v="0"/>
    <n v="0"/>
    <n v="0"/>
    <n v="0"/>
    <x v="4"/>
    <x v="1"/>
  </r>
  <r>
    <n v="36"/>
    <s v="No"/>
    <s v="Travel_Frequently"/>
    <n v="1480"/>
    <s v="Research &amp; Development"/>
    <n v="3"/>
    <n v="2"/>
    <s v="Medical"/>
    <n v="1"/>
    <n v="238"/>
    <n v="4"/>
    <s v="Male"/>
    <n v="30"/>
    <n v="3"/>
    <x v="1"/>
    <s v="Laboratory Technician"/>
    <n v="2"/>
    <s v="Single"/>
    <x v="168"/>
    <n v="15062"/>
    <n v="4"/>
    <s v="Y"/>
    <s v="No"/>
    <n v="12"/>
    <n v="3"/>
    <n v="3"/>
    <n v="80"/>
    <n v="0"/>
    <n v="13"/>
    <n v="3"/>
    <n v="2"/>
    <n v="8"/>
    <n v="7"/>
    <n v="7"/>
    <n v="2"/>
    <x v="0"/>
    <x v="1"/>
  </r>
  <r>
    <n v="30"/>
    <s v="No"/>
    <s v="Non-Travel"/>
    <n v="111"/>
    <s v="Research &amp; Development"/>
    <n v="9"/>
    <n v="3"/>
    <s v="Medical"/>
    <n v="1"/>
    <n v="239"/>
    <n v="3"/>
    <s v="Male"/>
    <n v="66"/>
    <n v="3"/>
    <x v="0"/>
    <s v="Laboratory Technician"/>
    <n v="1"/>
    <s v="Divorced"/>
    <x v="169"/>
    <n v="11012"/>
    <n v="1"/>
    <s v="Y"/>
    <s v="No"/>
    <n v="11"/>
    <n v="3"/>
    <n v="3"/>
    <n v="80"/>
    <n v="2"/>
    <n v="12"/>
    <n v="4"/>
    <n v="3"/>
    <n v="12"/>
    <n v="9"/>
    <n v="6"/>
    <n v="10"/>
    <x v="2"/>
    <x v="0"/>
  </r>
  <r>
    <n v="45"/>
    <s v="No"/>
    <s v="Travel_Rarely"/>
    <n v="1268"/>
    <s v="Sales"/>
    <n v="4"/>
    <n v="2"/>
    <s v="Life Sciences"/>
    <n v="1"/>
    <n v="240"/>
    <n v="3"/>
    <s v="Female"/>
    <n v="30"/>
    <n v="3"/>
    <x v="0"/>
    <s v="Sales Executive"/>
    <n v="1"/>
    <s v="Divorced"/>
    <x v="170"/>
    <n v="6319"/>
    <n v="4"/>
    <s v="Y"/>
    <s v="Yes"/>
    <n v="11"/>
    <n v="3"/>
    <n v="1"/>
    <n v="80"/>
    <n v="1"/>
    <n v="9"/>
    <n v="3"/>
    <n v="4"/>
    <n v="5"/>
    <n v="4"/>
    <n v="0"/>
    <n v="3"/>
    <x v="0"/>
    <x v="0"/>
  </r>
  <r>
    <n v="56"/>
    <s v="No"/>
    <s v="Travel_Rarely"/>
    <n v="713"/>
    <s v="Research &amp; Development"/>
    <n v="8"/>
    <n v="3"/>
    <s v="Life Sciences"/>
    <n v="1"/>
    <n v="241"/>
    <n v="3"/>
    <s v="Female"/>
    <n v="67"/>
    <n v="3"/>
    <x v="1"/>
    <s v="Research Scientist"/>
    <n v="1"/>
    <s v="Divorced"/>
    <x v="171"/>
    <n v="13939"/>
    <n v="4"/>
    <s v="Y"/>
    <s v="Yes"/>
    <n v="18"/>
    <n v="3"/>
    <n v="3"/>
    <n v="80"/>
    <n v="1"/>
    <n v="19"/>
    <n v="3"/>
    <n v="3"/>
    <n v="2"/>
    <n v="2"/>
    <n v="2"/>
    <n v="2"/>
    <x v="3"/>
    <x v="0"/>
  </r>
  <r>
    <n v="33"/>
    <s v="No"/>
    <s v="Travel_Rarely"/>
    <n v="134"/>
    <s v="Research &amp; Development"/>
    <n v="2"/>
    <n v="3"/>
    <s v="Life Sciences"/>
    <n v="1"/>
    <n v="242"/>
    <n v="3"/>
    <s v="Male"/>
    <n v="90"/>
    <n v="3"/>
    <x v="1"/>
    <s v="Research Scientist"/>
    <n v="4"/>
    <s v="Single"/>
    <x v="172"/>
    <n v="10515"/>
    <n v="0"/>
    <s v="Y"/>
    <s v="No"/>
    <n v="14"/>
    <n v="3"/>
    <n v="1"/>
    <n v="80"/>
    <n v="0"/>
    <n v="4"/>
    <n v="2"/>
    <n v="4"/>
    <n v="3"/>
    <n v="1"/>
    <n v="0"/>
    <n v="2"/>
    <x v="2"/>
    <x v="1"/>
  </r>
  <r>
    <n v="19"/>
    <s v="Yes"/>
    <s v="Travel_Rarely"/>
    <n v="303"/>
    <s v="Research &amp; Development"/>
    <n v="2"/>
    <n v="3"/>
    <s v="Life Sciences"/>
    <n v="1"/>
    <n v="243"/>
    <n v="2"/>
    <s v="Male"/>
    <n v="47"/>
    <n v="2"/>
    <x v="1"/>
    <s v="Laboratory Technician"/>
    <n v="4"/>
    <s v="Single"/>
    <x v="173"/>
    <n v="9241"/>
    <n v="1"/>
    <s v="Y"/>
    <s v="No"/>
    <n v="22"/>
    <n v="4"/>
    <n v="3"/>
    <n v="80"/>
    <n v="0"/>
    <n v="1"/>
    <n v="3"/>
    <n v="2"/>
    <n v="1"/>
    <n v="0"/>
    <n v="1"/>
    <n v="0"/>
    <x v="4"/>
    <x v="1"/>
  </r>
  <r>
    <n v="46"/>
    <s v="No"/>
    <s v="Travel_Rarely"/>
    <n v="526"/>
    <s v="Sales"/>
    <n v="1"/>
    <n v="2"/>
    <s v="Marketing"/>
    <n v="1"/>
    <n v="244"/>
    <n v="2"/>
    <s v="Female"/>
    <n v="92"/>
    <n v="3"/>
    <x v="2"/>
    <s v="Sales Executive"/>
    <n v="1"/>
    <s v="Divorced"/>
    <x v="174"/>
    <n v="2137"/>
    <n v="1"/>
    <s v="Y"/>
    <s v="No"/>
    <n v="25"/>
    <n v="4"/>
    <n v="3"/>
    <n v="80"/>
    <n v="3"/>
    <n v="24"/>
    <n v="2"/>
    <n v="3"/>
    <n v="24"/>
    <n v="13"/>
    <n v="15"/>
    <n v="7"/>
    <x v="1"/>
    <x v="2"/>
  </r>
  <r>
    <n v="38"/>
    <s v="No"/>
    <s v="Travel_Rarely"/>
    <n v="1380"/>
    <s v="Research &amp; Development"/>
    <n v="9"/>
    <n v="2"/>
    <s v="Life Sciences"/>
    <n v="1"/>
    <n v="245"/>
    <n v="3"/>
    <s v="Female"/>
    <n v="75"/>
    <n v="3"/>
    <x v="1"/>
    <s v="Laboratory Technician"/>
    <n v="4"/>
    <s v="Single"/>
    <x v="175"/>
    <n v="6319"/>
    <n v="1"/>
    <s v="Y"/>
    <s v="No"/>
    <n v="12"/>
    <n v="3"/>
    <n v="3"/>
    <n v="80"/>
    <n v="0"/>
    <n v="2"/>
    <n v="3"/>
    <n v="3"/>
    <n v="2"/>
    <n v="2"/>
    <n v="2"/>
    <n v="1"/>
    <x v="0"/>
    <x v="1"/>
  </r>
  <r>
    <n v="31"/>
    <s v="No"/>
    <s v="Travel_Rarely"/>
    <n v="140"/>
    <s v="Research &amp; Development"/>
    <n v="12"/>
    <n v="1"/>
    <s v="Medical"/>
    <n v="1"/>
    <n v="246"/>
    <n v="3"/>
    <s v="Female"/>
    <n v="95"/>
    <n v="3"/>
    <x v="1"/>
    <s v="Research Scientist"/>
    <n v="4"/>
    <s v="Married"/>
    <x v="176"/>
    <n v="6984"/>
    <n v="8"/>
    <s v="Y"/>
    <s v="Yes"/>
    <n v="23"/>
    <n v="4"/>
    <n v="3"/>
    <n v="80"/>
    <n v="1"/>
    <n v="7"/>
    <n v="0"/>
    <n v="3"/>
    <n v="4"/>
    <n v="2"/>
    <n v="0"/>
    <n v="2"/>
    <x v="2"/>
    <x v="0"/>
  </r>
  <r>
    <n v="34"/>
    <s v="No"/>
    <s v="Travel_Rarely"/>
    <n v="629"/>
    <s v="Research &amp; Development"/>
    <n v="27"/>
    <n v="2"/>
    <s v="Medical"/>
    <n v="1"/>
    <n v="247"/>
    <n v="4"/>
    <s v="Female"/>
    <n v="95"/>
    <n v="3"/>
    <x v="1"/>
    <s v="Research Scientist"/>
    <n v="2"/>
    <s v="Single"/>
    <x v="177"/>
    <n v="5711"/>
    <n v="2"/>
    <s v="Y"/>
    <s v="No"/>
    <n v="15"/>
    <n v="3"/>
    <n v="4"/>
    <n v="80"/>
    <n v="0"/>
    <n v="9"/>
    <n v="3"/>
    <n v="3"/>
    <n v="3"/>
    <n v="2"/>
    <n v="1"/>
    <n v="2"/>
    <x v="2"/>
    <x v="1"/>
  </r>
  <r>
    <n v="41"/>
    <s v="Yes"/>
    <s v="Travel_Rarely"/>
    <n v="1356"/>
    <s v="Sales"/>
    <n v="20"/>
    <n v="2"/>
    <s v="Marketing"/>
    <n v="1"/>
    <n v="248"/>
    <n v="2"/>
    <s v="Female"/>
    <n v="70"/>
    <n v="3"/>
    <x v="1"/>
    <s v="Sales Representative"/>
    <n v="2"/>
    <s v="Single"/>
    <x v="178"/>
    <n v="21728"/>
    <n v="1"/>
    <s v="Y"/>
    <s v="Yes"/>
    <n v="22"/>
    <n v="4"/>
    <n v="4"/>
    <n v="80"/>
    <n v="0"/>
    <n v="4"/>
    <n v="5"/>
    <n v="2"/>
    <n v="4"/>
    <n v="3"/>
    <n v="0"/>
    <n v="2"/>
    <x v="0"/>
    <x v="0"/>
  </r>
  <r>
    <n v="50"/>
    <s v="No"/>
    <s v="Travel_Rarely"/>
    <n v="328"/>
    <s v="Research &amp; Development"/>
    <n v="1"/>
    <n v="3"/>
    <s v="Medical"/>
    <n v="1"/>
    <n v="249"/>
    <n v="3"/>
    <s v="Male"/>
    <n v="86"/>
    <n v="2"/>
    <x v="1"/>
    <s v="Laboratory Technician"/>
    <n v="3"/>
    <s v="Married"/>
    <x v="179"/>
    <n v="3425"/>
    <n v="2"/>
    <s v="Y"/>
    <s v="No"/>
    <n v="15"/>
    <n v="3"/>
    <n v="4"/>
    <n v="80"/>
    <n v="1"/>
    <n v="5"/>
    <n v="2"/>
    <n v="2"/>
    <n v="3"/>
    <n v="2"/>
    <n v="0"/>
    <n v="2"/>
    <x v="1"/>
    <x v="0"/>
  </r>
  <r>
    <n v="53"/>
    <s v="No"/>
    <s v="Travel_Rarely"/>
    <n v="1084"/>
    <s v="Research &amp; Development"/>
    <n v="13"/>
    <n v="2"/>
    <s v="Medical"/>
    <n v="1"/>
    <n v="250"/>
    <n v="4"/>
    <s v="Female"/>
    <n v="57"/>
    <n v="4"/>
    <x v="0"/>
    <s v="Manufacturing Director"/>
    <n v="1"/>
    <s v="Divorced"/>
    <x v="180"/>
    <n v="26250"/>
    <n v="1"/>
    <s v="Y"/>
    <s v="No"/>
    <n v="11"/>
    <n v="3"/>
    <n v="3"/>
    <n v="80"/>
    <n v="2"/>
    <n v="5"/>
    <n v="3"/>
    <n v="3"/>
    <n v="4"/>
    <n v="2"/>
    <n v="1"/>
    <n v="3"/>
    <x v="1"/>
    <x v="0"/>
  </r>
  <r>
    <n v="33"/>
    <s v="No"/>
    <s v="Travel_Rarely"/>
    <n v="931"/>
    <s v="Research &amp; Development"/>
    <n v="14"/>
    <n v="3"/>
    <s v="Medical"/>
    <n v="1"/>
    <n v="252"/>
    <n v="4"/>
    <s v="Female"/>
    <n v="72"/>
    <n v="3"/>
    <x v="1"/>
    <s v="Research Scientist"/>
    <n v="2"/>
    <s v="Married"/>
    <x v="181"/>
    <n v="4673"/>
    <n v="1"/>
    <s v="Y"/>
    <s v="No"/>
    <n v="13"/>
    <n v="3"/>
    <n v="4"/>
    <n v="80"/>
    <n v="1"/>
    <n v="8"/>
    <n v="5"/>
    <n v="3"/>
    <n v="8"/>
    <n v="7"/>
    <n v="1"/>
    <n v="6"/>
    <x v="2"/>
    <x v="1"/>
  </r>
  <r>
    <n v="40"/>
    <s v="No"/>
    <s v="Travel_Rarely"/>
    <n v="989"/>
    <s v="Research &amp; Development"/>
    <n v="4"/>
    <n v="1"/>
    <s v="Medical"/>
    <n v="1"/>
    <n v="253"/>
    <n v="4"/>
    <s v="Female"/>
    <n v="46"/>
    <n v="3"/>
    <x v="4"/>
    <s v="Manager"/>
    <n v="3"/>
    <s v="Married"/>
    <x v="182"/>
    <n v="6499"/>
    <n v="1"/>
    <s v="Y"/>
    <s v="No"/>
    <n v="14"/>
    <n v="3"/>
    <n v="2"/>
    <n v="80"/>
    <n v="1"/>
    <n v="21"/>
    <n v="2"/>
    <n v="3"/>
    <n v="20"/>
    <n v="8"/>
    <n v="9"/>
    <n v="9"/>
    <x v="0"/>
    <x v="3"/>
  </r>
  <r>
    <n v="55"/>
    <s v="No"/>
    <s v="Travel_Rarely"/>
    <n v="692"/>
    <s v="Research &amp; Development"/>
    <n v="14"/>
    <n v="4"/>
    <s v="Medical"/>
    <n v="1"/>
    <n v="254"/>
    <n v="3"/>
    <s v="Male"/>
    <n v="61"/>
    <n v="4"/>
    <x v="4"/>
    <s v="Research Director"/>
    <n v="2"/>
    <s v="Single"/>
    <x v="183"/>
    <n v="13339"/>
    <n v="8"/>
    <s v="Y"/>
    <s v="No"/>
    <n v="11"/>
    <n v="3"/>
    <n v="4"/>
    <n v="80"/>
    <n v="0"/>
    <n v="36"/>
    <n v="3"/>
    <n v="3"/>
    <n v="24"/>
    <n v="15"/>
    <n v="2"/>
    <n v="15"/>
    <x v="1"/>
    <x v="3"/>
  </r>
  <r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x v="0"/>
    <s v="Manufacturing Director"/>
    <n v="3"/>
    <s v="Married"/>
    <x v="184"/>
    <n v="14074"/>
    <n v="1"/>
    <s v="Y"/>
    <s v="No"/>
    <n v="17"/>
    <n v="3"/>
    <n v="3"/>
    <n v="80"/>
    <n v="0"/>
    <n v="10"/>
    <n v="2"/>
    <n v="2"/>
    <n v="10"/>
    <n v="9"/>
    <n v="1"/>
    <n v="9"/>
    <x v="2"/>
    <x v="2"/>
  </r>
  <r>
    <n v="51"/>
    <s v="No"/>
    <s v="Travel_Rarely"/>
    <n v="313"/>
    <s v="Research &amp; Development"/>
    <n v="3"/>
    <n v="3"/>
    <s v="Medical"/>
    <n v="1"/>
    <n v="258"/>
    <n v="4"/>
    <s v="Female"/>
    <n v="98"/>
    <n v="3"/>
    <x v="3"/>
    <s v="Healthcare Representative"/>
    <n v="2"/>
    <s v="Single"/>
    <x v="185"/>
    <n v="7192"/>
    <n v="3"/>
    <s v="Y"/>
    <s v="No"/>
    <n v="18"/>
    <n v="3"/>
    <n v="3"/>
    <n v="80"/>
    <n v="0"/>
    <n v="21"/>
    <n v="6"/>
    <n v="3"/>
    <n v="7"/>
    <n v="7"/>
    <n v="1"/>
    <n v="0"/>
    <x v="1"/>
    <x v="3"/>
  </r>
  <r>
    <n v="52"/>
    <s v="No"/>
    <s v="Travel_Rarely"/>
    <n v="699"/>
    <s v="Research &amp; Development"/>
    <n v="1"/>
    <n v="4"/>
    <s v="Life Sciences"/>
    <n v="1"/>
    <n v="259"/>
    <n v="3"/>
    <s v="Male"/>
    <n v="65"/>
    <n v="2"/>
    <x v="4"/>
    <s v="Manager"/>
    <n v="3"/>
    <s v="Married"/>
    <x v="186"/>
    <n v="5678"/>
    <n v="0"/>
    <s v="Y"/>
    <s v="No"/>
    <n v="14"/>
    <n v="3"/>
    <n v="1"/>
    <n v="80"/>
    <n v="1"/>
    <n v="34"/>
    <n v="5"/>
    <n v="3"/>
    <n v="33"/>
    <n v="18"/>
    <n v="11"/>
    <n v="9"/>
    <x v="1"/>
    <x v="3"/>
  </r>
  <r>
    <n v="27"/>
    <s v="No"/>
    <s v="Travel_Rarely"/>
    <n v="894"/>
    <s v="Research &amp; Development"/>
    <n v="9"/>
    <n v="3"/>
    <s v="Medical"/>
    <n v="1"/>
    <n v="260"/>
    <n v="4"/>
    <s v="Female"/>
    <n v="99"/>
    <n v="3"/>
    <x v="1"/>
    <s v="Research Scientist"/>
    <n v="2"/>
    <s v="Single"/>
    <x v="187"/>
    <n v="11781"/>
    <n v="1"/>
    <s v="Y"/>
    <s v="No"/>
    <n v="16"/>
    <n v="3"/>
    <n v="4"/>
    <n v="80"/>
    <n v="0"/>
    <n v="7"/>
    <n v="2"/>
    <n v="2"/>
    <n v="7"/>
    <n v="7"/>
    <n v="0"/>
    <n v="3"/>
    <x v="2"/>
    <x v="1"/>
  </r>
  <r>
    <n v="35"/>
    <s v="Yes"/>
    <s v="Travel_Rarely"/>
    <n v="556"/>
    <s v="Research &amp; Development"/>
    <n v="23"/>
    <n v="2"/>
    <s v="Life Sciences"/>
    <n v="1"/>
    <n v="261"/>
    <n v="2"/>
    <s v="Male"/>
    <n v="50"/>
    <n v="2"/>
    <x v="0"/>
    <s v="Manufacturing Director"/>
    <n v="3"/>
    <s v="Married"/>
    <x v="188"/>
    <n v="15497"/>
    <n v="3"/>
    <s v="Y"/>
    <s v="Yes"/>
    <n v="13"/>
    <n v="3"/>
    <n v="1"/>
    <n v="80"/>
    <n v="0"/>
    <n v="8"/>
    <n v="1"/>
    <n v="3"/>
    <n v="1"/>
    <n v="0"/>
    <n v="0"/>
    <n v="1"/>
    <x v="2"/>
    <x v="0"/>
  </r>
  <r>
    <n v="43"/>
    <s v="No"/>
    <s v="Non-Travel"/>
    <n v="1344"/>
    <s v="Research &amp; Development"/>
    <n v="7"/>
    <n v="3"/>
    <s v="Medical"/>
    <n v="1"/>
    <n v="262"/>
    <n v="4"/>
    <s v="Male"/>
    <n v="37"/>
    <n v="4"/>
    <x v="1"/>
    <s v="Research Scientist"/>
    <n v="4"/>
    <s v="Divorced"/>
    <x v="189"/>
    <n v="5228"/>
    <n v="4"/>
    <s v="Y"/>
    <s v="No"/>
    <n v="14"/>
    <n v="3"/>
    <n v="4"/>
    <n v="80"/>
    <n v="3"/>
    <n v="7"/>
    <n v="3"/>
    <n v="4"/>
    <n v="5"/>
    <n v="4"/>
    <n v="2"/>
    <n v="2"/>
    <x v="0"/>
    <x v="1"/>
  </r>
  <r>
    <n v="45"/>
    <s v="No"/>
    <s v="Non-Travel"/>
    <n v="1195"/>
    <s v="Research &amp; Development"/>
    <n v="2"/>
    <n v="2"/>
    <s v="Medical"/>
    <n v="1"/>
    <n v="264"/>
    <n v="1"/>
    <s v="Male"/>
    <n v="65"/>
    <n v="2"/>
    <x v="3"/>
    <s v="Manager"/>
    <n v="4"/>
    <s v="Married"/>
    <x v="190"/>
    <n v="20462"/>
    <n v="9"/>
    <s v="Y"/>
    <s v="No"/>
    <n v="23"/>
    <n v="4"/>
    <n v="4"/>
    <n v="80"/>
    <n v="1"/>
    <n v="22"/>
    <n v="1"/>
    <n v="3"/>
    <n v="20"/>
    <n v="8"/>
    <n v="11"/>
    <n v="8"/>
    <x v="0"/>
    <x v="3"/>
  </r>
  <r>
    <n v="37"/>
    <s v="No"/>
    <s v="Travel_Rarely"/>
    <n v="290"/>
    <s v="Research &amp; Development"/>
    <n v="21"/>
    <n v="3"/>
    <s v="Life Sciences"/>
    <n v="1"/>
    <n v="267"/>
    <n v="2"/>
    <s v="Male"/>
    <n v="65"/>
    <n v="4"/>
    <x v="1"/>
    <s v="Research Scientist"/>
    <n v="1"/>
    <s v="Married"/>
    <x v="191"/>
    <n v="22977"/>
    <n v="1"/>
    <s v="Y"/>
    <s v="Yes"/>
    <n v="12"/>
    <n v="3"/>
    <n v="1"/>
    <n v="80"/>
    <n v="1"/>
    <n v="8"/>
    <n v="3"/>
    <n v="2"/>
    <n v="8"/>
    <n v="7"/>
    <n v="1"/>
    <n v="7"/>
    <x v="0"/>
    <x v="0"/>
  </r>
  <r>
    <n v="35"/>
    <s v="No"/>
    <s v="Travel_Frequently"/>
    <n v="138"/>
    <s v="Research &amp; Development"/>
    <n v="2"/>
    <n v="3"/>
    <s v="Medical"/>
    <n v="1"/>
    <n v="269"/>
    <n v="2"/>
    <s v="Female"/>
    <n v="37"/>
    <n v="3"/>
    <x v="0"/>
    <s v="Laboratory Technician"/>
    <n v="2"/>
    <s v="Single"/>
    <x v="192"/>
    <n v="15986"/>
    <n v="5"/>
    <s v="Y"/>
    <s v="No"/>
    <n v="11"/>
    <n v="3"/>
    <n v="4"/>
    <n v="80"/>
    <n v="0"/>
    <n v="10"/>
    <n v="5"/>
    <n v="3"/>
    <n v="6"/>
    <n v="2"/>
    <n v="1"/>
    <n v="2"/>
    <x v="2"/>
    <x v="0"/>
  </r>
  <r>
    <n v="42"/>
    <s v="No"/>
    <s v="Non-Travel"/>
    <n v="926"/>
    <s v="Research &amp; Development"/>
    <n v="21"/>
    <n v="2"/>
    <s v="Medical"/>
    <n v="1"/>
    <n v="270"/>
    <n v="3"/>
    <s v="Female"/>
    <n v="36"/>
    <n v="3"/>
    <x v="0"/>
    <s v="Manufacturing Director"/>
    <n v="3"/>
    <s v="Divorced"/>
    <x v="193"/>
    <n v="16439"/>
    <n v="2"/>
    <s v="Y"/>
    <s v="No"/>
    <n v="16"/>
    <n v="3"/>
    <n v="2"/>
    <n v="80"/>
    <n v="1"/>
    <n v="11"/>
    <n v="5"/>
    <n v="3"/>
    <n v="5"/>
    <n v="3"/>
    <n v="0"/>
    <n v="2"/>
    <x v="0"/>
    <x v="0"/>
  </r>
  <r>
    <n v="38"/>
    <s v="No"/>
    <s v="Travel_Rarely"/>
    <n v="1261"/>
    <s v="Research &amp; Development"/>
    <n v="2"/>
    <n v="4"/>
    <s v="Life Sciences"/>
    <n v="1"/>
    <n v="271"/>
    <n v="4"/>
    <s v="Male"/>
    <n v="88"/>
    <n v="3"/>
    <x v="0"/>
    <s v="Manufacturing Director"/>
    <n v="3"/>
    <s v="Married"/>
    <x v="194"/>
    <n v="7259"/>
    <n v="9"/>
    <s v="Y"/>
    <s v="No"/>
    <n v="14"/>
    <n v="3"/>
    <n v="2"/>
    <n v="80"/>
    <n v="0"/>
    <n v="14"/>
    <n v="3"/>
    <n v="3"/>
    <n v="1"/>
    <n v="0"/>
    <n v="0"/>
    <n v="0"/>
    <x v="0"/>
    <x v="0"/>
  </r>
  <r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x v="0"/>
    <s v="Manufacturing Director"/>
    <n v="4"/>
    <s v="Married"/>
    <x v="195"/>
    <n v="4185"/>
    <n v="3"/>
    <s v="Y"/>
    <s v="No"/>
    <n v="18"/>
    <n v="3"/>
    <n v="1"/>
    <n v="80"/>
    <n v="1"/>
    <n v="9"/>
    <n v="3"/>
    <n v="1"/>
    <n v="7"/>
    <n v="7"/>
    <n v="1"/>
    <n v="7"/>
    <x v="0"/>
    <x v="0"/>
  </r>
  <r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x v="0"/>
    <s v="Manufacturing Director"/>
    <n v="1"/>
    <s v="Married"/>
    <x v="196"/>
    <n v="9679"/>
    <n v="5"/>
    <s v="Y"/>
    <s v="No"/>
    <n v="19"/>
    <n v="3"/>
    <n v="3"/>
    <n v="80"/>
    <n v="1"/>
    <n v="6"/>
    <n v="1"/>
    <n v="3"/>
    <n v="2"/>
    <n v="2"/>
    <n v="2"/>
    <n v="0"/>
    <x v="2"/>
    <x v="0"/>
  </r>
  <r>
    <n v="49"/>
    <s v="No"/>
    <s v="Non-Travel"/>
    <n v="1002"/>
    <s v="Research &amp; Development"/>
    <n v="18"/>
    <n v="4"/>
    <s v="Life Sciences"/>
    <n v="1"/>
    <n v="275"/>
    <n v="4"/>
    <s v="Male"/>
    <n v="92"/>
    <n v="3"/>
    <x v="0"/>
    <s v="Manufacturing Director"/>
    <n v="4"/>
    <s v="Divorced"/>
    <x v="197"/>
    <n v="23793"/>
    <n v="1"/>
    <s v="Y"/>
    <s v="Yes"/>
    <n v="15"/>
    <n v="3"/>
    <n v="1"/>
    <n v="80"/>
    <n v="2"/>
    <n v="7"/>
    <n v="0"/>
    <n v="3"/>
    <n v="7"/>
    <n v="7"/>
    <n v="1"/>
    <n v="7"/>
    <x v="1"/>
    <x v="0"/>
  </r>
  <r>
    <n v="34"/>
    <s v="No"/>
    <s v="Travel_Frequently"/>
    <n v="878"/>
    <s v="Research &amp; Development"/>
    <n v="10"/>
    <n v="4"/>
    <s v="Medical"/>
    <n v="1"/>
    <n v="277"/>
    <n v="4"/>
    <s v="Male"/>
    <n v="43"/>
    <n v="3"/>
    <x v="1"/>
    <s v="Research Scientist"/>
    <n v="3"/>
    <s v="Divorced"/>
    <x v="198"/>
    <n v="5972"/>
    <n v="1"/>
    <s v="Y"/>
    <s v="Yes"/>
    <n v="17"/>
    <n v="3"/>
    <n v="4"/>
    <n v="80"/>
    <n v="1"/>
    <n v="5"/>
    <n v="4"/>
    <n v="4"/>
    <n v="5"/>
    <n v="3"/>
    <n v="2"/>
    <n v="0"/>
    <x v="2"/>
    <x v="0"/>
  </r>
  <r>
    <n v="40"/>
    <s v="No"/>
    <s v="Travel_Rarely"/>
    <n v="905"/>
    <s v="Research &amp; Development"/>
    <n v="19"/>
    <n v="2"/>
    <s v="Medical"/>
    <n v="1"/>
    <n v="281"/>
    <n v="3"/>
    <s v="Male"/>
    <n v="99"/>
    <n v="3"/>
    <x v="0"/>
    <s v="Laboratory Technician"/>
    <n v="4"/>
    <s v="Married"/>
    <x v="199"/>
    <n v="16523"/>
    <n v="8"/>
    <s v="Y"/>
    <s v="Yes"/>
    <n v="15"/>
    <n v="3"/>
    <n v="3"/>
    <n v="80"/>
    <n v="1"/>
    <n v="15"/>
    <n v="2"/>
    <n v="4"/>
    <n v="7"/>
    <n v="2"/>
    <n v="3"/>
    <n v="7"/>
    <x v="0"/>
    <x v="1"/>
  </r>
  <r>
    <n v="38"/>
    <s v="Yes"/>
    <s v="Travel_Rarely"/>
    <n v="1180"/>
    <s v="Research &amp; Development"/>
    <n v="29"/>
    <n v="1"/>
    <s v="Medical"/>
    <n v="1"/>
    <n v="282"/>
    <n v="2"/>
    <s v="Male"/>
    <n v="70"/>
    <n v="3"/>
    <x v="0"/>
    <s v="Healthcare Representative"/>
    <n v="1"/>
    <s v="Married"/>
    <x v="200"/>
    <n v="11354"/>
    <n v="7"/>
    <s v="Y"/>
    <s v="Yes"/>
    <n v="19"/>
    <n v="3"/>
    <n v="2"/>
    <n v="80"/>
    <n v="0"/>
    <n v="17"/>
    <n v="2"/>
    <n v="3"/>
    <n v="1"/>
    <n v="0"/>
    <n v="0"/>
    <n v="0"/>
    <x v="0"/>
    <x v="0"/>
  </r>
  <r>
    <n v="29"/>
    <s v="Yes"/>
    <s v="Travel_Rarely"/>
    <n v="121"/>
    <s v="Sales"/>
    <n v="27"/>
    <n v="3"/>
    <s v="Marketing"/>
    <n v="1"/>
    <n v="283"/>
    <n v="2"/>
    <s v="Female"/>
    <n v="35"/>
    <n v="3"/>
    <x v="2"/>
    <s v="Sales Executive"/>
    <n v="4"/>
    <s v="Married"/>
    <x v="201"/>
    <n v="24525"/>
    <n v="1"/>
    <s v="Y"/>
    <s v="No"/>
    <n v="22"/>
    <n v="4"/>
    <n v="4"/>
    <n v="80"/>
    <n v="3"/>
    <n v="10"/>
    <n v="3"/>
    <n v="2"/>
    <n v="10"/>
    <n v="4"/>
    <n v="1"/>
    <n v="9"/>
    <x v="2"/>
    <x v="2"/>
  </r>
  <r>
    <n v="22"/>
    <s v="No"/>
    <s v="Travel_Rarely"/>
    <n v="1136"/>
    <s v="Research &amp; Development"/>
    <n v="5"/>
    <n v="3"/>
    <s v="Life Sciences"/>
    <n v="1"/>
    <n v="284"/>
    <n v="4"/>
    <s v="Male"/>
    <n v="60"/>
    <n v="4"/>
    <x v="1"/>
    <s v="Research Scientist"/>
    <n v="2"/>
    <s v="Divorced"/>
    <x v="202"/>
    <n v="12392"/>
    <n v="1"/>
    <s v="Y"/>
    <s v="Yes"/>
    <n v="16"/>
    <n v="3"/>
    <n v="1"/>
    <n v="80"/>
    <n v="1"/>
    <n v="4"/>
    <n v="2"/>
    <n v="2"/>
    <n v="4"/>
    <n v="2"/>
    <n v="2"/>
    <n v="2"/>
    <x v="4"/>
    <x v="1"/>
  </r>
  <r>
    <n v="36"/>
    <s v="No"/>
    <s v="Travel_Frequently"/>
    <n v="635"/>
    <s v="Research &amp; Development"/>
    <n v="18"/>
    <n v="1"/>
    <s v="Medical"/>
    <n v="1"/>
    <n v="286"/>
    <n v="2"/>
    <s v="Female"/>
    <n v="73"/>
    <n v="3"/>
    <x v="1"/>
    <s v="Laboratory Technician"/>
    <n v="4"/>
    <s v="Single"/>
    <x v="203"/>
    <n v="7703"/>
    <n v="1"/>
    <s v="Y"/>
    <s v="No"/>
    <n v="13"/>
    <n v="3"/>
    <n v="1"/>
    <n v="80"/>
    <n v="0"/>
    <n v="8"/>
    <n v="2"/>
    <n v="3"/>
    <n v="8"/>
    <n v="1"/>
    <n v="1"/>
    <n v="7"/>
    <x v="0"/>
    <x v="1"/>
  </r>
  <r>
    <n v="40"/>
    <s v="No"/>
    <s v="Non-Travel"/>
    <n v="1151"/>
    <s v="Research &amp; Development"/>
    <n v="9"/>
    <n v="5"/>
    <s v="Life Sciences"/>
    <n v="1"/>
    <n v="287"/>
    <n v="4"/>
    <s v="Male"/>
    <n v="63"/>
    <n v="2"/>
    <x v="0"/>
    <s v="Healthcare Representative"/>
    <n v="4"/>
    <s v="Married"/>
    <x v="204"/>
    <n v="14242"/>
    <n v="9"/>
    <s v="Y"/>
    <s v="No"/>
    <n v="14"/>
    <n v="3"/>
    <n v="4"/>
    <n v="80"/>
    <n v="1"/>
    <n v="5"/>
    <n v="5"/>
    <n v="1"/>
    <n v="3"/>
    <n v="2"/>
    <n v="0"/>
    <n v="2"/>
    <x v="0"/>
    <x v="0"/>
  </r>
  <r>
    <n v="46"/>
    <s v="No"/>
    <s v="Travel_Rarely"/>
    <n v="644"/>
    <s v="Research &amp; Development"/>
    <n v="1"/>
    <n v="4"/>
    <s v="Medical"/>
    <n v="1"/>
    <n v="288"/>
    <n v="4"/>
    <s v="Male"/>
    <n v="97"/>
    <n v="3"/>
    <x v="2"/>
    <s v="Healthcare Representative"/>
    <n v="1"/>
    <s v="Divorced"/>
    <x v="205"/>
    <n v="12368"/>
    <n v="7"/>
    <s v="Y"/>
    <s v="No"/>
    <n v="16"/>
    <n v="3"/>
    <n v="3"/>
    <n v="80"/>
    <n v="1"/>
    <n v="17"/>
    <n v="3"/>
    <n v="3"/>
    <n v="4"/>
    <n v="2"/>
    <n v="0"/>
    <n v="3"/>
    <x v="1"/>
    <x v="2"/>
  </r>
  <r>
    <n v="32"/>
    <s v="Yes"/>
    <s v="Travel_Rarely"/>
    <n v="1045"/>
    <s v="Sales"/>
    <n v="4"/>
    <n v="4"/>
    <s v="Medical"/>
    <n v="1"/>
    <n v="291"/>
    <n v="4"/>
    <s v="Male"/>
    <n v="32"/>
    <n v="1"/>
    <x v="2"/>
    <s v="Sales Executive"/>
    <n v="4"/>
    <s v="Married"/>
    <x v="206"/>
    <n v="25812"/>
    <n v="1"/>
    <s v="Y"/>
    <s v="No"/>
    <n v="11"/>
    <n v="3"/>
    <n v="3"/>
    <n v="80"/>
    <n v="0"/>
    <n v="14"/>
    <n v="2"/>
    <n v="2"/>
    <n v="14"/>
    <n v="8"/>
    <n v="9"/>
    <n v="8"/>
    <x v="2"/>
    <x v="2"/>
  </r>
  <r>
    <n v="30"/>
    <s v="No"/>
    <s v="Non-Travel"/>
    <n v="829"/>
    <s v="Research &amp; Development"/>
    <n v="1"/>
    <n v="1"/>
    <s v="Life Sciences"/>
    <n v="1"/>
    <n v="292"/>
    <n v="3"/>
    <s v="Male"/>
    <n v="88"/>
    <n v="2"/>
    <x v="2"/>
    <s v="Manufacturing Director"/>
    <n v="3"/>
    <s v="Single"/>
    <x v="207"/>
    <n v="20925"/>
    <n v="1"/>
    <s v="Y"/>
    <s v="No"/>
    <n v="22"/>
    <n v="4"/>
    <n v="3"/>
    <n v="80"/>
    <n v="0"/>
    <n v="12"/>
    <n v="2"/>
    <n v="3"/>
    <n v="11"/>
    <n v="8"/>
    <n v="5"/>
    <n v="8"/>
    <x v="2"/>
    <x v="2"/>
  </r>
  <r>
    <n v="27"/>
    <s v="No"/>
    <s v="Travel_Frequently"/>
    <n v="1242"/>
    <s v="Sales"/>
    <n v="20"/>
    <n v="3"/>
    <s v="Life Sciences"/>
    <n v="1"/>
    <n v="293"/>
    <n v="4"/>
    <s v="Female"/>
    <n v="90"/>
    <n v="3"/>
    <x v="0"/>
    <s v="Sales Executive"/>
    <n v="3"/>
    <s v="Single"/>
    <x v="208"/>
    <n v="12916"/>
    <n v="1"/>
    <s v="Y"/>
    <s v="No"/>
    <n v="14"/>
    <n v="3"/>
    <n v="4"/>
    <n v="80"/>
    <n v="0"/>
    <n v="7"/>
    <n v="2"/>
    <n v="3"/>
    <n v="7"/>
    <n v="7"/>
    <n v="0"/>
    <n v="7"/>
    <x v="2"/>
    <x v="2"/>
  </r>
  <r>
    <n v="51"/>
    <s v="No"/>
    <s v="Travel_Rarely"/>
    <n v="1469"/>
    <s v="Research &amp; Development"/>
    <n v="8"/>
    <n v="4"/>
    <s v="Life Sciences"/>
    <n v="1"/>
    <n v="296"/>
    <n v="2"/>
    <s v="Male"/>
    <n v="81"/>
    <n v="2"/>
    <x v="2"/>
    <s v="Research Director"/>
    <n v="2"/>
    <s v="Married"/>
    <x v="209"/>
    <n v="15736"/>
    <n v="5"/>
    <s v="Y"/>
    <s v="No"/>
    <n v="16"/>
    <n v="3"/>
    <n v="4"/>
    <n v="80"/>
    <n v="2"/>
    <n v="16"/>
    <n v="5"/>
    <n v="1"/>
    <n v="10"/>
    <n v="9"/>
    <n v="4"/>
    <n v="7"/>
    <x v="1"/>
    <x v="3"/>
  </r>
  <r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x v="1"/>
    <s v="Research Scientist"/>
    <n v="1"/>
    <s v="Single"/>
    <x v="210"/>
    <n v="8556"/>
    <n v="5"/>
    <s v="Y"/>
    <s v="Yes"/>
    <n v="11"/>
    <n v="3"/>
    <n v="3"/>
    <n v="80"/>
    <n v="0"/>
    <n v="8"/>
    <n v="5"/>
    <n v="3"/>
    <n v="5"/>
    <n v="2"/>
    <n v="0"/>
    <n v="4"/>
    <x v="2"/>
    <x v="1"/>
  </r>
  <r>
    <n v="41"/>
    <s v="No"/>
    <s v="Travel_Rarely"/>
    <n v="896"/>
    <s v="Sales"/>
    <n v="6"/>
    <n v="3"/>
    <s v="Life Sciences"/>
    <n v="1"/>
    <n v="298"/>
    <n v="4"/>
    <s v="Female"/>
    <n v="75"/>
    <n v="3"/>
    <x v="2"/>
    <s v="Manager"/>
    <n v="4"/>
    <s v="Single"/>
    <x v="211"/>
    <n v="14674"/>
    <n v="3"/>
    <s v="Y"/>
    <s v="Yes"/>
    <n v="18"/>
    <n v="3"/>
    <n v="3"/>
    <n v="80"/>
    <n v="0"/>
    <n v="16"/>
    <n v="3"/>
    <n v="3"/>
    <n v="1"/>
    <n v="0"/>
    <n v="0"/>
    <n v="0"/>
    <x v="0"/>
    <x v="3"/>
  </r>
  <r>
    <n v="30"/>
    <s v="Yes"/>
    <s v="Travel_Frequently"/>
    <n v="334"/>
    <s v="Sales"/>
    <n v="26"/>
    <n v="4"/>
    <s v="Marketing"/>
    <n v="1"/>
    <n v="299"/>
    <n v="3"/>
    <s v="Female"/>
    <n v="52"/>
    <n v="2"/>
    <x v="0"/>
    <s v="Sales Executive"/>
    <n v="1"/>
    <s v="Single"/>
    <x v="212"/>
    <n v="22967"/>
    <n v="5"/>
    <s v="Y"/>
    <s v="No"/>
    <n v="15"/>
    <n v="3"/>
    <n v="3"/>
    <n v="80"/>
    <n v="0"/>
    <n v="9"/>
    <n v="5"/>
    <n v="2"/>
    <n v="6"/>
    <n v="3"/>
    <n v="0"/>
    <n v="1"/>
    <x v="2"/>
    <x v="0"/>
  </r>
  <r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x v="1"/>
    <s v="Research Scientist"/>
    <n v="3"/>
    <s v="Single"/>
    <x v="213"/>
    <n v="19757"/>
    <n v="0"/>
    <s v="Y"/>
    <s v="No"/>
    <n v="14"/>
    <n v="3"/>
    <n v="4"/>
    <n v="80"/>
    <n v="0"/>
    <n v="7"/>
    <n v="1"/>
    <n v="2"/>
    <n v="6"/>
    <n v="2"/>
    <n v="1"/>
    <n v="5"/>
    <x v="2"/>
    <x v="1"/>
  </r>
  <r>
    <n v="45"/>
    <s v="No"/>
    <s v="Non-Travel"/>
    <n v="1052"/>
    <s v="Sales"/>
    <n v="6"/>
    <n v="3"/>
    <s v="Medical"/>
    <n v="1"/>
    <n v="302"/>
    <n v="4"/>
    <s v="Female"/>
    <n v="57"/>
    <n v="2"/>
    <x v="2"/>
    <s v="Sales Executive"/>
    <n v="4"/>
    <s v="Single"/>
    <x v="214"/>
    <n v="16840"/>
    <n v="6"/>
    <s v="Y"/>
    <s v="No"/>
    <n v="12"/>
    <n v="3"/>
    <n v="4"/>
    <n v="80"/>
    <n v="0"/>
    <n v="23"/>
    <n v="2"/>
    <n v="3"/>
    <n v="19"/>
    <n v="7"/>
    <n v="12"/>
    <n v="8"/>
    <x v="0"/>
    <x v="2"/>
  </r>
  <r>
    <n v="54"/>
    <s v="No"/>
    <s v="Travel_Rarely"/>
    <n v="1147"/>
    <s v="Sales"/>
    <n v="3"/>
    <n v="3"/>
    <s v="Marketing"/>
    <n v="1"/>
    <n v="303"/>
    <n v="4"/>
    <s v="Female"/>
    <n v="52"/>
    <n v="3"/>
    <x v="0"/>
    <s v="Sales Executive"/>
    <n v="1"/>
    <s v="Married"/>
    <x v="215"/>
    <n v="17011"/>
    <n v="2"/>
    <s v="Y"/>
    <s v="No"/>
    <n v="14"/>
    <n v="3"/>
    <n v="4"/>
    <n v="80"/>
    <n v="1"/>
    <n v="16"/>
    <n v="4"/>
    <n v="3"/>
    <n v="6"/>
    <n v="2"/>
    <n v="0"/>
    <n v="5"/>
    <x v="1"/>
    <x v="0"/>
  </r>
  <r>
    <n v="36"/>
    <s v="No"/>
    <s v="Travel_Rarely"/>
    <n v="1396"/>
    <s v="Research &amp; Development"/>
    <n v="5"/>
    <n v="2"/>
    <s v="Life Sciences"/>
    <n v="1"/>
    <n v="304"/>
    <n v="4"/>
    <s v="Male"/>
    <n v="62"/>
    <n v="3"/>
    <x v="0"/>
    <s v="Laboratory Technician"/>
    <n v="2"/>
    <s v="Single"/>
    <x v="216"/>
    <n v="9945"/>
    <n v="8"/>
    <s v="Y"/>
    <s v="No"/>
    <n v="16"/>
    <n v="3"/>
    <n v="4"/>
    <n v="80"/>
    <n v="0"/>
    <n v="16"/>
    <n v="3"/>
    <n v="4"/>
    <n v="13"/>
    <n v="11"/>
    <n v="3"/>
    <n v="7"/>
    <x v="0"/>
    <x v="0"/>
  </r>
  <r>
    <n v="33"/>
    <s v="No"/>
    <s v="Travel_Rarely"/>
    <n v="147"/>
    <s v="Research &amp; Development"/>
    <n v="4"/>
    <n v="4"/>
    <s v="Medical"/>
    <n v="1"/>
    <n v="305"/>
    <n v="3"/>
    <s v="Female"/>
    <n v="47"/>
    <n v="2"/>
    <x v="1"/>
    <s v="Research Scientist"/>
    <n v="2"/>
    <s v="Married"/>
    <x v="217"/>
    <n v="13248"/>
    <n v="6"/>
    <s v="Y"/>
    <s v="No"/>
    <n v="21"/>
    <n v="4"/>
    <n v="4"/>
    <n v="80"/>
    <n v="0"/>
    <n v="7"/>
    <n v="3"/>
    <n v="3"/>
    <n v="3"/>
    <n v="2"/>
    <n v="1"/>
    <n v="1"/>
    <x v="2"/>
    <x v="1"/>
  </r>
  <r>
    <n v="37"/>
    <s v="No"/>
    <s v="Travel_Frequently"/>
    <n v="663"/>
    <s v="Research &amp; Development"/>
    <n v="11"/>
    <n v="3"/>
    <s v="Other"/>
    <n v="1"/>
    <n v="306"/>
    <n v="2"/>
    <s v="Male"/>
    <n v="47"/>
    <n v="3"/>
    <x v="2"/>
    <s v="Research Director"/>
    <n v="4"/>
    <s v="Divorced"/>
    <x v="218"/>
    <n v="10056"/>
    <n v="1"/>
    <s v="Y"/>
    <s v="Yes"/>
    <n v="14"/>
    <n v="3"/>
    <n v="3"/>
    <n v="80"/>
    <n v="3"/>
    <n v="10"/>
    <n v="1"/>
    <n v="3"/>
    <n v="10"/>
    <n v="8"/>
    <n v="0"/>
    <n v="7"/>
    <x v="0"/>
    <x v="3"/>
  </r>
  <r>
    <n v="38"/>
    <s v="No"/>
    <s v="Travel_Rarely"/>
    <n v="119"/>
    <s v="Sales"/>
    <n v="3"/>
    <n v="3"/>
    <s v="Life Sciences"/>
    <n v="1"/>
    <n v="307"/>
    <n v="1"/>
    <s v="Male"/>
    <n v="76"/>
    <n v="3"/>
    <x v="2"/>
    <s v="Sales Executive"/>
    <n v="3"/>
    <s v="Divorced"/>
    <x v="219"/>
    <n v="9647"/>
    <n v="0"/>
    <s v="Y"/>
    <s v="No"/>
    <n v="12"/>
    <n v="3"/>
    <n v="3"/>
    <n v="80"/>
    <n v="2"/>
    <n v="17"/>
    <n v="6"/>
    <n v="2"/>
    <n v="16"/>
    <n v="10"/>
    <n v="5"/>
    <n v="13"/>
    <x v="0"/>
    <x v="2"/>
  </r>
  <r>
    <n v="31"/>
    <s v="No"/>
    <s v="Non-Travel"/>
    <n v="979"/>
    <s v="Research &amp; Development"/>
    <n v="1"/>
    <n v="4"/>
    <s v="Medical"/>
    <n v="1"/>
    <n v="308"/>
    <n v="3"/>
    <s v="Male"/>
    <n v="90"/>
    <n v="1"/>
    <x v="0"/>
    <s v="Manufacturing Director"/>
    <n v="3"/>
    <s v="Married"/>
    <x v="220"/>
    <n v="4381"/>
    <n v="0"/>
    <s v="Y"/>
    <s v="No"/>
    <n v="12"/>
    <n v="3"/>
    <n v="4"/>
    <n v="80"/>
    <n v="1"/>
    <n v="6"/>
    <n v="2"/>
    <n v="3"/>
    <n v="5"/>
    <n v="4"/>
    <n v="1"/>
    <n v="4"/>
    <x v="2"/>
    <x v="0"/>
  </r>
  <r>
    <n v="59"/>
    <s v="No"/>
    <s v="Travel_Rarely"/>
    <n v="142"/>
    <s v="Research &amp; Development"/>
    <n v="3"/>
    <n v="3"/>
    <s v="Life Sciences"/>
    <n v="1"/>
    <n v="309"/>
    <n v="3"/>
    <s v="Male"/>
    <n v="70"/>
    <n v="2"/>
    <x v="1"/>
    <s v="Research Scientist"/>
    <n v="4"/>
    <s v="Married"/>
    <x v="221"/>
    <n v="8456"/>
    <n v="3"/>
    <s v="Y"/>
    <s v="No"/>
    <n v="17"/>
    <n v="3"/>
    <n v="1"/>
    <n v="80"/>
    <n v="1"/>
    <n v="7"/>
    <n v="6"/>
    <n v="3"/>
    <n v="1"/>
    <n v="0"/>
    <n v="0"/>
    <n v="0"/>
    <x v="3"/>
    <x v="1"/>
  </r>
  <r>
    <n v="37"/>
    <s v="No"/>
    <s v="Travel_Frequently"/>
    <n v="319"/>
    <s v="Sales"/>
    <n v="4"/>
    <n v="4"/>
    <s v="Marketing"/>
    <n v="1"/>
    <n v="311"/>
    <n v="1"/>
    <s v="Male"/>
    <n v="41"/>
    <n v="3"/>
    <x v="1"/>
    <s v="Sales Representative"/>
    <n v="4"/>
    <s v="Divorced"/>
    <x v="222"/>
    <n v="2539"/>
    <n v="4"/>
    <s v="Y"/>
    <s v="No"/>
    <n v="17"/>
    <n v="3"/>
    <n v="3"/>
    <n v="80"/>
    <n v="1"/>
    <n v="13"/>
    <n v="2"/>
    <n v="3"/>
    <n v="9"/>
    <n v="8"/>
    <n v="5"/>
    <n v="8"/>
    <x v="0"/>
    <x v="1"/>
  </r>
  <r>
    <n v="29"/>
    <s v="No"/>
    <s v="Travel_Frequently"/>
    <n v="1413"/>
    <s v="Sales"/>
    <n v="1"/>
    <n v="1"/>
    <s v="Medical"/>
    <n v="1"/>
    <n v="312"/>
    <n v="2"/>
    <s v="Female"/>
    <n v="42"/>
    <n v="3"/>
    <x v="2"/>
    <s v="Sales Executive"/>
    <n v="4"/>
    <s v="Married"/>
    <x v="223"/>
    <n v="6599"/>
    <n v="1"/>
    <s v="Y"/>
    <s v="No"/>
    <n v="14"/>
    <n v="3"/>
    <n v="4"/>
    <n v="80"/>
    <n v="1"/>
    <n v="11"/>
    <n v="5"/>
    <n v="3"/>
    <n v="11"/>
    <n v="10"/>
    <n v="4"/>
    <n v="1"/>
    <x v="2"/>
    <x v="2"/>
  </r>
  <r>
    <n v="35"/>
    <s v="No"/>
    <s v="Travel_Frequently"/>
    <n v="944"/>
    <s v="Sales"/>
    <n v="1"/>
    <n v="3"/>
    <s v="Marketing"/>
    <n v="1"/>
    <n v="314"/>
    <n v="3"/>
    <s v="Female"/>
    <n v="92"/>
    <n v="3"/>
    <x v="2"/>
    <s v="Sales Executive"/>
    <n v="3"/>
    <s v="Single"/>
    <x v="224"/>
    <n v="9096"/>
    <n v="1"/>
    <s v="Y"/>
    <s v="No"/>
    <n v="14"/>
    <n v="3"/>
    <n v="1"/>
    <n v="80"/>
    <n v="0"/>
    <n v="10"/>
    <n v="3"/>
    <n v="4"/>
    <n v="10"/>
    <n v="7"/>
    <n v="0"/>
    <n v="8"/>
    <x v="2"/>
    <x v="2"/>
  </r>
  <r>
    <n v="29"/>
    <s v="Yes"/>
    <s v="Travel_Rarely"/>
    <n v="896"/>
    <s v="Research &amp; Development"/>
    <n v="18"/>
    <n v="1"/>
    <s v="Medical"/>
    <n v="1"/>
    <n v="315"/>
    <n v="3"/>
    <s v="Male"/>
    <n v="86"/>
    <n v="2"/>
    <x v="1"/>
    <s v="Research Scientist"/>
    <n v="4"/>
    <s v="Single"/>
    <x v="225"/>
    <n v="14961"/>
    <n v="1"/>
    <s v="Y"/>
    <s v="Yes"/>
    <n v="13"/>
    <n v="3"/>
    <n v="3"/>
    <n v="80"/>
    <n v="0"/>
    <n v="4"/>
    <n v="3"/>
    <n v="2"/>
    <n v="4"/>
    <n v="3"/>
    <n v="0"/>
    <n v="1"/>
    <x v="2"/>
    <x v="1"/>
  </r>
  <r>
    <n v="52"/>
    <s v="No"/>
    <s v="Travel_Rarely"/>
    <n v="1323"/>
    <s v="Research &amp; Development"/>
    <n v="2"/>
    <n v="3"/>
    <s v="Life Sciences"/>
    <n v="1"/>
    <n v="316"/>
    <n v="3"/>
    <s v="Female"/>
    <n v="89"/>
    <n v="2"/>
    <x v="1"/>
    <s v="Laboratory Technician"/>
    <n v="4"/>
    <s v="Single"/>
    <x v="226"/>
    <n v="3300"/>
    <n v="7"/>
    <s v="Y"/>
    <s v="No"/>
    <n v="15"/>
    <n v="3"/>
    <n v="2"/>
    <n v="80"/>
    <n v="0"/>
    <n v="6"/>
    <n v="3"/>
    <n v="2"/>
    <n v="2"/>
    <n v="2"/>
    <n v="2"/>
    <n v="2"/>
    <x v="1"/>
    <x v="0"/>
  </r>
  <r>
    <n v="42"/>
    <s v="No"/>
    <s v="Travel_Rarely"/>
    <n v="532"/>
    <s v="Research &amp; Development"/>
    <n v="4"/>
    <n v="2"/>
    <s v="Technical Degree"/>
    <n v="1"/>
    <n v="319"/>
    <n v="3"/>
    <s v="Male"/>
    <n v="58"/>
    <n v="3"/>
    <x v="4"/>
    <s v="Manager"/>
    <n v="4"/>
    <s v="Married"/>
    <x v="227"/>
    <n v="4933"/>
    <n v="1"/>
    <s v="Y"/>
    <s v="No"/>
    <n v="11"/>
    <n v="3"/>
    <n v="4"/>
    <n v="80"/>
    <n v="0"/>
    <n v="22"/>
    <n v="3"/>
    <n v="3"/>
    <n v="22"/>
    <n v="17"/>
    <n v="11"/>
    <n v="15"/>
    <x v="0"/>
    <x v="3"/>
  </r>
  <r>
    <n v="59"/>
    <s v="No"/>
    <s v="Travel_Rarely"/>
    <n v="818"/>
    <s v="Human Resources"/>
    <n v="6"/>
    <n v="2"/>
    <s v="Medical"/>
    <n v="1"/>
    <n v="321"/>
    <n v="2"/>
    <s v="Male"/>
    <n v="52"/>
    <n v="3"/>
    <x v="1"/>
    <s v="Human Resources"/>
    <n v="3"/>
    <s v="Married"/>
    <x v="228"/>
    <n v="25657"/>
    <n v="8"/>
    <s v="Y"/>
    <s v="No"/>
    <n v="17"/>
    <n v="3"/>
    <n v="4"/>
    <n v="80"/>
    <n v="0"/>
    <n v="7"/>
    <n v="2"/>
    <n v="2"/>
    <n v="2"/>
    <n v="2"/>
    <n v="2"/>
    <n v="2"/>
    <x v="3"/>
    <x v="1"/>
  </r>
  <r>
    <n v="50"/>
    <s v="No"/>
    <s v="Travel_Rarely"/>
    <n v="854"/>
    <s v="Sales"/>
    <n v="1"/>
    <n v="4"/>
    <s v="Medical"/>
    <n v="1"/>
    <n v="323"/>
    <n v="4"/>
    <s v="Female"/>
    <n v="68"/>
    <n v="3"/>
    <x v="4"/>
    <s v="Manager"/>
    <n v="4"/>
    <s v="Divorced"/>
    <x v="229"/>
    <n v="24118"/>
    <n v="3"/>
    <s v="Y"/>
    <s v="No"/>
    <n v="11"/>
    <n v="3"/>
    <n v="3"/>
    <n v="80"/>
    <n v="1"/>
    <n v="32"/>
    <n v="3"/>
    <n v="2"/>
    <n v="7"/>
    <n v="0"/>
    <n v="0"/>
    <n v="6"/>
    <x v="1"/>
    <x v="3"/>
  </r>
  <r>
    <n v="33"/>
    <s v="Yes"/>
    <s v="Travel_Rarely"/>
    <n v="813"/>
    <s v="Research &amp; Development"/>
    <n v="14"/>
    <n v="3"/>
    <s v="Medical"/>
    <n v="1"/>
    <n v="325"/>
    <n v="3"/>
    <s v="Male"/>
    <n v="58"/>
    <n v="3"/>
    <x v="1"/>
    <s v="Laboratory Technician"/>
    <n v="4"/>
    <s v="Married"/>
    <x v="230"/>
    <n v="22149"/>
    <n v="5"/>
    <s v="Y"/>
    <s v="Yes"/>
    <n v="13"/>
    <n v="3"/>
    <n v="3"/>
    <n v="80"/>
    <n v="1"/>
    <n v="8"/>
    <n v="2"/>
    <n v="1"/>
    <n v="5"/>
    <n v="4"/>
    <n v="0"/>
    <n v="4"/>
    <x v="2"/>
    <x v="1"/>
  </r>
  <r>
    <n v="43"/>
    <s v="No"/>
    <s v="Travel_Rarely"/>
    <n v="1034"/>
    <s v="Sales"/>
    <n v="16"/>
    <n v="3"/>
    <s v="Marketing"/>
    <n v="1"/>
    <n v="327"/>
    <n v="4"/>
    <s v="Female"/>
    <n v="80"/>
    <n v="3"/>
    <x v="3"/>
    <s v="Manager"/>
    <n v="4"/>
    <s v="Married"/>
    <x v="231"/>
    <n v="7744"/>
    <n v="5"/>
    <s v="Y"/>
    <s v="Yes"/>
    <n v="22"/>
    <n v="4"/>
    <n v="3"/>
    <n v="80"/>
    <n v="1"/>
    <n v="22"/>
    <n v="3"/>
    <n v="3"/>
    <n v="17"/>
    <n v="13"/>
    <n v="1"/>
    <n v="9"/>
    <x v="0"/>
    <x v="3"/>
  </r>
  <r>
    <n v="33"/>
    <s v="Yes"/>
    <s v="Travel_Rarely"/>
    <n v="465"/>
    <s v="Research &amp; Development"/>
    <n v="2"/>
    <n v="2"/>
    <s v="Life Sciences"/>
    <n v="1"/>
    <n v="328"/>
    <n v="1"/>
    <s v="Female"/>
    <n v="39"/>
    <n v="3"/>
    <x v="1"/>
    <s v="Laboratory Technician"/>
    <n v="1"/>
    <s v="Married"/>
    <x v="232"/>
    <n v="21509"/>
    <n v="7"/>
    <s v="Y"/>
    <s v="No"/>
    <n v="20"/>
    <n v="4"/>
    <n v="1"/>
    <n v="80"/>
    <n v="0"/>
    <n v="13"/>
    <n v="3"/>
    <n v="4"/>
    <n v="9"/>
    <n v="7"/>
    <n v="1"/>
    <n v="7"/>
    <x v="2"/>
    <x v="1"/>
  </r>
  <r>
    <n v="52"/>
    <s v="No"/>
    <s v="Non-Travel"/>
    <n v="771"/>
    <s v="Sales"/>
    <n v="2"/>
    <n v="4"/>
    <s v="Life Sciences"/>
    <n v="1"/>
    <n v="329"/>
    <n v="1"/>
    <s v="Male"/>
    <n v="79"/>
    <n v="2"/>
    <x v="4"/>
    <s v="Manager"/>
    <n v="3"/>
    <s v="Single"/>
    <x v="233"/>
    <n v="21030"/>
    <n v="1"/>
    <s v="Y"/>
    <s v="Yes"/>
    <n v="18"/>
    <n v="3"/>
    <n v="4"/>
    <n v="80"/>
    <n v="0"/>
    <n v="33"/>
    <n v="2"/>
    <n v="4"/>
    <n v="33"/>
    <n v="7"/>
    <n v="15"/>
    <n v="12"/>
    <x v="1"/>
    <x v="3"/>
  </r>
  <r>
    <n v="32"/>
    <s v="No"/>
    <s v="Travel_Rarely"/>
    <n v="1401"/>
    <s v="Sales"/>
    <n v="4"/>
    <n v="2"/>
    <s v="Life Sciences"/>
    <n v="1"/>
    <n v="330"/>
    <n v="3"/>
    <s v="Female"/>
    <n v="56"/>
    <n v="3"/>
    <x v="1"/>
    <s v="Sales Representative"/>
    <n v="2"/>
    <s v="Married"/>
    <x v="234"/>
    <n v="20990"/>
    <n v="2"/>
    <s v="Y"/>
    <s v="No"/>
    <n v="11"/>
    <n v="3"/>
    <n v="1"/>
    <n v="80"/>
    <n v="1"/>
    <n v="6"/>
    <n v="5"/>
    <n v="3"/>
    <n v="4"/>
    <n v="3"/>
    <n v="1"/>
    <n v="2"/>
    <x v="2"/>
    <x v="0"/>
  </r>
  <r>
    <n v="32"/>
    <s v="Yes"/>
    <s v="Travel_Rarely"/>
    <n v="515"/>
    <s v="Research &amp; Development"/>
    <n v="1"/>
    <n v="3"/>
    <s v="Life Sciences"/>
    <n v="1"/>
    <n v="331"/>
    <n v="4"/>
    <s v="Male"/>
    <n v="62"/>
    <n v="2"/>
    <x v="1"/>
    <s v="Laboratory Technician"/>
    <n v="3"/>
    <s v="Single"/>
    <x v="235"/>
    <n v="9571"/>
    <n v="0"/>
    <s v="Y"/>
    <s v="Yes"/>
    <n v="14"/>
    <n v="3"/>
    <n v="4"/>
    <n v="80"/>
    <n v="0"/>
    <n v="4"/>
    <n v="2"/>
    <n v="1"/>
    <n v="3"/>
    <n v="2"/>
    <n v="1"/>
    <n v="2"/>
    <x v="2"/>
    <x v="0"/>
  </r>
  <r>
    <n v="39"/>
    <s v="No"/>
    <s v="Travel_Rarely"/>
    <n v="1431"/>
    <s v="Research &amp; Development"/>
    <n v="1"/>
    <n v="4"/>
    <s v="Medical"/>
    <n v="1"/>
    <n v="332"/>
    <n v="3"/>
    <s v="Female"/>
    <n v="96"/>
    <n v="3"/>
    <x v="1"/>
    <s v="Laboratory Technician"/>
    <n v="3"/>
    <s v="Divorced"/>
    <x v="236"/>
    <n v="15417"/>
    <n v="7"/>
    <s v="Y"/>
    <s v="No"/>
    <n v="14"/>
    <n v="3"/>
    <n v="3"/>
    <n v="80"/>
    <n v="3"/>
    <n v="7"/>
    <n v="1"/>
    <n v="3"/>
    <n v="3"/>
    <n v="2"/>
    <n v="1"/>
    <n v="2"/>
    <x v="0"/>
    <x v="1"/>
  </r>
  <r>
    <n v="32"/>
    <s v="No"/>
    <s v="Non-Travel"/>
    <n v="976"/>
    <s v="Sales"/>
    <n v="26"/>
    <n v="4"/>
    <s v="Marketing"/>
    <n v="1"/>
    <n v="333"/>
    <n v="3"/>
    <s v="Male"/>
    <n v="100"/>
    <n v="3"/>
    <x v="0"/>
    <s v="Sales Executive"/>
    <n v="4"/>
    <s v="Married"/>
    <x v="237"/>
    <n v="12069"/>
    <n v="0"/>
    <s v="Y"/>
    <s v="No"/>
    <n v="18"/>
    <n v="3"/>
    <n v="1"/>
    <n v="80"/>
    <n v="0"/>
    <n v="4"/>
    <n v="2"/>
    <n v="3"/>
    <n v="3"/>
    <n v="2"/>
    <n v="2"/>
    <n v="2"/>
    <x v="2"/>
    <x v="0"/>
  </r>
  <r>
    <n v="41"/>
    <s v="No"/>
    <s v="Travel_Rarely"/>
    <n v="1411"/>
    <s v="Research &amp; Development"/>
    <n v="19"/>
    <n v="2"/>
    <s v="Life Sciences"/>
    <n v="1"/>
    <n v="334"/>
    <n v="3"/>
    <s v="Male"/>
    <n v="36"/>
    <n v="3"/>
    <x v="0"/>
    <s v="Research Scientist"/>
    <n v="1"/>
    <s v="Divorced"/>
    <x v="169"/>
    <n v="19877"/>
    <n v="2"/>
    <s v="Y"/>
    <s v="No"/>
    <n v="16"/>
    <n v="3"/>
    <n v="1"/>
    <n v="80"/>
    <n v="2"/>
    <n v="17"/>
    <n v="2"/>
    <n v="2"/>
    <n v="1"/>
    <n v="0"/>
    <n v="0"/>
    <n v="0"/>
    <x v="0"/>
    <x v="0"/>
  </r>
  <r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x v="0"/>
    <s v="Research Scientist"/>
    <n v="4"/>
    <s v="Divorced"/>
    <x v="238"/>
    <n v="24447"/>
    <n v="1"/>
    <s v="Y"/>
    <s v="No"/>
    <n v="17"/>
    <n v="3"/>
    <n v="1"/>
    <n v="80"/>
    <n v="2"/>
    <n v="9"/>
    <n v="3"/>
    <n v="3"/>
    <n v="9"/>
    <n v="8"/>
    <n v="4"/>
    <n v="7"/>
    <x v="0"/>
    <x v="0"/>
  </r>
  <r>
    <n v="45"/>
    <s v="No"/>
    <s v="Travel_Rarely"/>
    <n v="252"/>
    <s v="Research &amp; Development"/>
    <n v="1"/>
    <n v="3"/>
    <s v="Other"/>
    <n v="1"/>
    <n v="336"/>
    <n v="3"/>
    <s v="Male"/>
    <n v="70"/>
    <n v="4"/>
    <x v="4"/>
    <s v="Manager"/>
    <n v="4"/>
    <s v="Married"/>
    <x v="239"/>
    <n v="15970"/>
    <n v="0"/>
    <s v="Y"/>
    <s v="No"/>
    <n v="11"/>
    <n v="3"/>
    <n v="3"/>
    <n v="80"/>
    <n v="1"/>
    <n v="25"/>
    <n v="2"/>
    <n v="3"/>
    <n v="24"/>
    <n v="0"/>
    <n v="1"/>
    <n v="7"/>
    <x v="0"/>
    <x v="3"/>
  </r>
  <r>
    <n v="31"/>
    <s v="No"/>
    <s v="Travel_Frequently"/>
    <n v="1327"/>
    <s v="Research &amp; Development"/>
    <n v="3"/>
    <n v="4"/>
    <s v="Medical"/>
    <n v="1"/>
    <n v="337"/>
    <n v="2"/>
    <s v="Male"/>
    <n v="73"/>
    <n v="3"/>
    <x v="2"/>
    <s v="Research Director"/>
    <n v="3"/>
    <s v="Divorced"/>
    <x v="240"/>
    <n v="13523"/>
    <n v="9"/>
    <s v="Y"/>
    <s v="No"/>
    <n v="12"/>
    <n v="3"/>
    <n v="1"/>
    <n v="80"/>
    <n v="1"/>
    <n v="9"/>
    <n v="3"/>
    <n v="3"/>
    <n v="2"/>
    <n v="2"/>
    <n v="2"/>
    <n v="2"/>
    <x v="2"/>
    <x v="3"/>
  </r>
  <r>
    <n v="33"/>
    <s v="No"/>
    <s v="Travel_Rarely"/>
    <n v="832"/>
    <s v="Research &amp; Development"/>
    <n v="5"/>
    <n v="4"/>
    <s v="Life Sciences"/>
    <n v="1"/>
    <n v="338"/>
    <n v="3"/>
    <s v="Female"/>
    <n v="63"/>
    <n v="2"/>
    <x v="1"/>
    <s v="Research Scientist"/>
    <n v="4"/>
    <s v="Married"/>
    <x v="12"/>
    <n v="14776"/>
    <n v="1"/>
    <s v="Y"/>
    <s v="No"/>
    <n v="13"/>
    <n v="3"/>
    <n v="3"/>
    <n v="80"/>
    <n v="1"/>
    <n v="2"/>
    <n v="2"/>
    <n v="2"/>
    <n v="2"/>
    <n v="2"/>
    <n v="0"/>
    <n v="2"/>
    <x v="2"/>
    <x v="1"/>
  </r>
  <r>
    <n v="34"/>
    <s v="No"/>
    <s v="Travel_Rarely"/>
    <n v="470"/>
    <s v="Research &amp; Development"/>
    <n v="2"/>
    <n v="4"/>
    <s v="Life Sciences"/>
    <n v="1"/>
    <n v="339"/>
    <n v="4"/>
    <s v="Male"/>
    <n v="84"/>
    <n v="2"/>
    <x v="0"/>
    <s v="Manufacturing Director"/>
    <n v="1"/>
    <s v="Married"/>
    <x v="241"/>
    <n v="23687"/>
    <n v="6"/>
    <s v="Y"/>
    <s v="No"/>
    <n v="13"/>
    <n v="3"/>
    <n v="2"/>
    <n v="80"/>
    <n v="1"/>
    <n v="13"/>
    <n v="3"/>
    <n v="3"/>
    <n v="11"/>
    <n v="9"/>
    <n v="5"/>
    <n v="9"/>
    <x v="2"/>
    <x v="0"/>
  </r>
  <r>
    <n v="37"/>
    <s v="No"/>
    <s v="Travel_Rarely"/>
    <n v="1017"/>
    <s v="Research &amp; Development"/>
    <n v="1"/>
    <n v="2"/>
    <s v="Medical"/>
    <n v="1"/>
    <n v="340"/>
    <n v="3"/>
    <s v="Female"/>
    <n v="83"/>
    <n v="2"/>
    <x v="1"/>
    <s v="Research Scientist"/>
    <n v="1"/>
    <s v="Married"/>
    <x v="242"/>
    <n v="18697"/>
    <n v="2"/>
    <s v="Y"/>
    <s v="No"/>
    <n v="14"/>
    <n v="3"/>
    <n v="1"/>
    <n v="80"/>
    <n v="1"/>
    <n v="17"/>
    <n v="2"/>
    <n v="2"/>
    <n v="3"/>
    <n v="1"/>
    <n v="0"/>
    <n v="2"/>
    <x v="0"/>
    <x v="0"/>
  </r>
  <r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x v="0"/>
    <s v="Manufacturing Director"/>
    <n v="3"/>
    <s v="Married"/>
    <x v="243"/>
    <n v="5118"/>
    <n v="4"/>
    <s v="Y"/>
    <s v="No"/>
    <n v="17"/>
    <n v="3"/>
    <n v="4"/>
    <n v="80"/>
    <n v="1"/>
    <n v="9"/>
    <n v="1"/>
    <n v="3"/>
    <n v="3"/>
    <n v="2"/>
    <n v="0"/>
    <n v="2"/>
    <x v="0"/>
    <x v="0"/>
  </r>
  <r>
    <n v="37"/>
    <s v="Yes"/>
    <s v="Travel_Frequently"/>
    <n v="504"/>
    <s v="Research &amp; Development"/>
    <n v="10"/>
    <n v="3"/>
    <s v="Medical"/>
    <n v="1"/>
    <n v="342"/>
    <n v="1"/>
    <s v="Male"/>
    <n v="61"/>
    <n v="3"/>
    <x v="2"/>
    <s v="Manufacturing Director"/>
    <n v="3"/>
    <s v="Divorced"/>
    <x v="244"/>
    <n v="22573"/>
    <n v="6"/>
    <s v="Y"/>
    <s v="No"/>
    <n v="11"/>
    <n v="3"/>
    <n v="2"/>
    <n v="80"/>
    <n v="2"/>
    <n v="17"/>
    <n v="5"/>
    <n v="3"/>
    <n v="1"/>
    <n v="0"/>
    <n v="0"/>
    <n v="0"/>
    <x v="0"/>
    <x v="2"/>
  </r>
  <r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x v="2"/>
    <s v="Healthcare Representative"/>
    <n v="3"/>
    <s v="Single"/>
    <x v="245"/>
    <n v="6420"/>
    <n v="0"/>
    <s v="Y"/>
    <s v="No"/>
    <n v="25"/>
    <n v="4"/>
    <n v="4"/>
    <n v="80"/>
    <n v="0"/>
    <n v="20"/>
    <n v="1"/>
    <n v="3"/>
    <n v="19"/>
    <n v="6"/>
    <n v="11"/>
    <n v="8"/>
    <x v="0"/>
    <x v="2"/>
  </r>
  <r>
    <n v="29"/>
    <s v="No"/>
    <s v="Travel_Rarely"/>
    <n v="665"/>
    <s v="Research &amp; Development"/>
    <n v="15"/>
    <n v="3"/>
    <s v="Life Sciences"/>
    <n v="1"/>
    <n v="346"/>
    <n v="3"/>
    <s v="Male"/>
    <n v="60"/>
    <n v="3"/>
    <x v="1"/>
    <s v="Research Scientist"/>
    <n v="4"/>
    <s v="Single"/>
    <x v="246"/>
    <n v="22673"/>
    <n v="1"/>
    <s v="Y"/>
    <s v="No"/>
    <n v="19"/>
    <n v="3"/>
    <n v="1"/>
    <n v="80"/>
    <n v="0"/>
    <n v="6"/>
    <n v="1"/>
    <n v="3"/>
    <n v="6"/>
    <n v="5"/>
    <n v="1"/>
    <n v="5"/>
    <x v="2"/>
    <x v="1"/>
  </r>
  <r>
    <n v="42"/>
    <s v="No"/>
    <s v="Travel_Rarely"/>
    <n v="916"/>
    <s v="Research &amp; Development"/>
    <n v="17"/>
    <n v="2"/>
    <s v="Life Sciences"/>
    <n v="1"/>
    <n v="347"/>
    <n v="4"/>
    <s v="Female"/>
    <n v="82"/>
    <n v="4"/>
    <x v="0"/>
    <s v="Research Scientist"/>
    <n v="1"/>
    <s v="Single"/>
    <x v="247"/>
    <n v="23016"/>
    <n v="3"/>
    <s v="Y"/>
    <s v="Yes"/>
    <n v="13"/>
    <n v="3"/>
    <n v="3"/>
    <n v="80"/>
    <n v="0"/>
    <n v="10"/>
    <n v="1"/>
    <n v="3"/>
    <n v="3"/>
    <n v="2"/>
    <n v="0"/>
    <n v="2"/>
    <x v="0"/>
    <x v="0"/>
  </r>
  <r>
    <n v="29"/>
    <s v="No"/>
    <s v="Travel_Rarely"/>
    <n v="1247"/>
    <s v="Sales"/>
    <n v="20"/>
    <n v="2"/>
    <s v="Marketing"/>
    <n v="1"/>
    <n v="349"/>
    <n v="4"/>
    <s v="Male"/>
    <n v="45"/>
    <n v="3"/>
    <x v="0"/>
    <s v="Sales Executive"/>
    <n v="4"/>
    <s v="Divorced"/>
    <x v="248"/>
    <n v="10732"/>
    <n v="2"/>
    <s v="Y"/>
    <s v="No"/>
    <n v="14"/>
    <n v="3"/>
    <n v="4"/>
    <n v="80"/>
    <n v="1"/>
    <n v="10"/>
    <n v="2"/>
    <n v="3"/>
    <n v="3"/>
    <n v="2"/>
    <n v="0"/>
    <n v="2"/>
    <x v="2"/>
    <x v="0"/>
  </r>
  <r>
    <n v="25"/>
    <s v="No"/>
    <s v="Travel_Rarely"/>
    <n v="685"/>
    <s v="Research &amp; Development"/>
    <n v="1"/>
    <n v="3"/>
    <s v="Life Sciences"/>
    <n v="1"/>
    <n v="350"/>
    <n v="1"/>
    <s v="Female"/>
    <n v="62"/>
    <n v="3"/>
    <x v="0"/>
    <s v="Manufacturing Director"/>
    <n v="3"/>
    <s v="Married"/>
    <x v="249"/>
    <n v="7505"/>
    <n v="0"/>
    <s v="Y"/>
    <s v="No"/>
    <n v="12"/>
    <n v="3"/>
    <n v="4"/>
    <n v="80"/>
    <n v="2"/>
    <n v="5"/>
    <n v="3"/>
    <n v="3"/>
    <n v="4"/>
    <n v="2"/>
    <n v="1"/>
    <n v="2"/>
    <x v="4"/>
    <x v="0"/>
  </r>
  <r>
    <n v="42"/>
    <s v="No"/>
    <s v="Travel_Rarely"/>
    <n v="269"/>
    <s v="Research &amp; Development"/>
    <n v="2"/>
    <n v="3"/>
    <s v="Medical"/>
    <n v="1"/>
    <n v="351"/>
    <n v="4"/>
    <s v="Female"/>
    <n v="56"/>
    <n v="2"/>
    <x v="1"/>
    <s v="Laboratory Technician"/>
    <n v="1"/>
    <s v="Divorced"/>
    <x v="250"/>
    <n v="8007"/>
    <n v="0"/>
    <s v="Y"/>
    <s v="Yes"/>
    <n v="11"/>
    <n v="3"/>
    <n v="3"/>
    <n v="80"/>
    <n v="1"/>
    <n v="10"/>
    <n v="4"/>
    <n v="3"/>
    <n v="9"/>
    <n v="6"/>
    <n v="7"/>
    <n v="8"/>
    <x v="0"/>
    <x v="1"/>
  </r>
  <r>
    <n v="40"/>
    <s v="No"/>
    <s v="Travel_Rarely"/>
    <n v="1416"/>
    <s v="Research &amp; Development"/>
    <n v="2"/>
    <n v="2"/>
    <s v="Medical"/>
    <n v="1"/>
    <n v="352"/>
    <n v="1"/>
    <s v="Male"/>
    <n v="49"/>
    <n v="3"/>
    <x v="4"/>
    <s v="Research Director"/>
    <n v="3"/>
    <s v="Divorced"/>
    <x v="251"/>
    <n v="5949"/>
    <n v="0"/>
    <s v="Y"/>
    <s v="No"/>
    <n v="19"/>
    <n v="3"/>
    <n v="4"/>
    <n v="80"/>
    <n v="1"/>
    <n v="22"/>
    <n v="5"/>
    <n v="3"/>
    <n v="21"/>
    <n v="7"/>
    <n v="3"/>
    <n v="9"/>
    <x v="0"/>
    <x v="3"/>
  </r>
  <r>
    <n v="51"/>
    <s v="No"/>
    <s v="Travel_Rarely"/>
    <n v="833"/>
    <s v="Research &amp; Development"/>
    <n v="1"/>
    <n v="3"/>
    <s v="Life Sciences"/>
    <n v="1"/>
    <n v="353"/>
    <n v="3"/>
    <s v="Male"/>
    <n v="96"/>
    <n v="3"/>
    <x v="1"/>
    <s v="Research Scientist"/>
    <n v="4"/>
    <s v="Married"/>
    <x v="252"/>
    <n v="23231"/>
    <n v="1"/>
    <s v="Y"/>
    <s v="No"/>
    <n v="11"/>
    <n v="3"/>
    <n v="2"/>
    <n v="80"/>
    <n v="0"/>
    <n v="1"/>
    <n v="0"/>
    <n v="2"/>
    <n v="1"/>
    <n v="0"/>
    <n v="0"/>
    <n v="0"/>
    <x v="1"/>
    <x v="1"/>
  </r>
  <r>
    <n v="31"/>
    <s v="Yes"/>
    <s v="Travel_Frequently"/>
    <n v="307"/>
    <s v="Research &amp; Development"/>
    <n v="29"/>
    <n v="2"/>
    <s v="Medical"/>
    <n v="1"/>
    <n v="355"/>
    <n v="3"/>
    <s v="Male"/>
    <n v="71"/>
    <n v="2"/>
    <x v="1"/>
    <s v="Laboratory Technician"/>
    <n v="2"/>
    <s v="Single"/>
    <x v="253"/>
    <n v="11652"/>
    <n v="0"/>
    <s v="Y"/>
    <s v="No"/>
    <n v="11"/>
    <n v="3"/>
    <n v="2"/>
    <n v="80"/>
    <n v="0"/>
    <n v="6"/>
    <n v="2"/>
    <n v="4"/>
    <n v="5"/>
    <n v="4"/>
    <n v="1"/>
    <n v="4"/>
    <x v="2"/>
    <x v="0"/>
  </r>
  <r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x v="1"/>
    <s v="Laboratory Technician"/>
    <n v="2"/>
    <s v="Married"/>
    <x v="254"/>
    <n v="26062"/>
    <n v="1"/>
    <s v="Y"/>
    <s v="No"/>
    <n v="20"/>
    <n v="4"/>
    <n v="3"/>
    <n v="80"/>
    <n v="0"/>
    <n v="5"/>
    <n v="3"/>
    <n v="1"/>
    <n v="5"/>
    <n v="1"/>
    <n v="0"/>
    <n v="3"/>
    <x v="2"/>
    <x v="1"/>
  </r>
  <r>
    <n v="38"/>
    <s v="No"/>
    <s v="Non-Travel"/>
    <n v="1327"/>
    <s v="Sales"/>
    <n v="2"/>
    <n v="2"/>
    <s v="Life Sciences"/>
    <n v="1"/>
    <n v="361"/>
    <n v="4"/>
    <s v="Male"/>
    <n v="39"/>
    <n v="2"/>
    <x v="0"/>
    <s v="Sales Executive"/>
    <n v="4"/>
    <s v="Married"/>
    <x v="255"/>
    <n v="19682"/>
    <n v="3"/>
    <s v="Y"/>
    <s v="No"/>
    <n v="18"/>
    <n v="3"/>
    <n v="4"/>
    <n v="80"/>
    <n v="1"/>
    <n v="13"/>
    <n v="0"/>
    <n v="3"/>
    <n v="8"/>
    <n v="7"/>
    <n v="7"/>
    <n v="5"/>
    <x v="0"/>
    <x v="0"/>
  </r>
  <r>
    <n v="32"/>
    <s v="No"/>
    <s v="Travel_Rarely"/>
    <n v="128"/>
    <s v="Research &amp; Development"/>
    <n v="2"/>
    <n v="1"/>
    <s v="Technical Degree"/>
    <n v="1"/>
    <n v="362"/>
    <n v="4"/>
    <s v="Male"/>
    <n v="84"/>
    <n v="2"/>
    <x v="0"/>
    <s v="Laboratory Technician"/>
    <n v="1"/>
    <s v="Single"/>
    <x v="256"/>
    <n v="19737"/>
    <n v="4"/>
    <s v="Y"/>
    <s v="No"/>
    <n v="13"/>
    <n v="3"/>
    <n v="4"/>
    <n v="80"/>
    <n v="0"/>
    <n v="9"/>
    <n v="5"/>
    <n v="3"/>
    <n v="6"/>
    <n v="2"/>
    <n v="0"/>
    <n v="4"/>
    <x v="2"/>
    <x v="1"/>
  </r>
  <r>
    <n v="46"/>
    <s v="No"/>
    <s v="Travel_Rarely"/>
    <n v="488"/>
    <s v="Sales"/>
    <n v="2"/>
    <n v="3"/>
    <s v="Technical Degree"/>
    <n v="1"/>
    <n v="363"/>
    <n v="3"/>
    <s v="Female"/>
    <n v="75"/>
    <n v="1"/>
    <x v="3"/>
    <s v="Manager"/>
    <n v="2"/>
    <s v="Married"/>
    <x v="257"/>
    <n v="14977"/>
    <n v="3"/>
    <s v="Y"/>
    <s v="Yes"/>
    <n v="12"/>
    <n v="3"/>
    <n v="2"/>
    <n v="80"/>
    <n v="1"/>
    <n v="28"/>
    <n v="2"/>
    <n v="2"/>
    <n v="7"/>
    <n v="7"/>
    <n v="7"/>
    <n v="7"/>
    <x v="1"/>
    <x v="3"/>
  </r>
  <r>
    <n v="28"/>
    <s v="Yes"/>
    <s v="Travel_Rarely"/>
    <n v="529"/>
    <s v="Research &amp; Development"/>
    <n v="2"/>
    <n v="4"/>
    <s v="Life Sciences"/>
    <n v="1"/>
    <n v="364"/>
    <n v="1"/>
    <s v="Male"/>
    <n v="79"/>
    <n v="3"/>
    <x v="1"/>
    <s v="Laboratory Technician"/>
    <n v="3"/>
    <s v="Single"/>
    <x v="258"/>
    <n v="14935"/>
    <n v="2"/>
    <s v="Y"/>
    <s v="No"/>
    <n v="11"/>
    <n v="3"/>
    <n v="3"/>
    <n v="80"/>
    <n v="0"/>
    <n v="5"/>
    <n v="5"/>
    <n v="1"/>
    <n v="0"/>
    <n v="0"/>
    <n v="0"/>
    <n v="0"/>
    <x v="2"/>
    <x v="0"/>
  </r>
  <r>
    <n v="29"/>
    <s v="No"/>
    <s v="Travel_Rarely"/>
    <n v="1210"/>
    <s v="Sales"/>
    <n v="2"/>
    <n v="3"/>
    <s v="Medical"/>
    <n v="1"/>
    <n v="366"/>
    <n v="1"/>
    <s v="Male"/>
    <n v="78"/>
    <n v="2"/>
    <x v="0"/>
    <s v="Sales Executive"/>
    <n v="2"/>
    <s v="Married"/>
    <x v="259"/>
    <n v="3687"/>
    <n v="2"/>
    <s v="Y"/>
    <s v="No"/>
    <n v="19"/>
    <n v="3"/>
    <n v="2"/>
    <n v="80"/>
    <n v="2"/>
    <n v="10"/>
    <n v="2"/>
    <n v="3"/>
    <n v="0"/>
    <n v="0"/>
    <n v="0"/>
    <n v="0"/>
    <x v="2"/>
    <x v="0"/>
  </r>
  <r>
    <n v="31"/>
    <s v="No"/>
    <s v="Travel_Rarely"/>
    <n v="1463"/>
    <s v="Research &amp; Development"/>
    <n v="23"/>
    <n v="3"/>
    <s v="Medical"/>
    <n v="1"/>
    <n v="367"/>
    <n v="2"/>
    <s v="Male"/>
    <n v="64"/>
    <n v="2"/>
    <x v="0"/>
    <s v="Healthcare Representative"/>
    <n v="4"/>
    <s v="Married"/>
    <x v="260"/>
    <n v="14408"/>
    <n v="0"/>
    <s v="Y"/>
    <s v="No"/>
    <n v="21"/>
    <n v="4"/>
    <n v="2"/>
    <n v="80"/>
    <n v="1"/>
    <n v="10"/>
    <n v="2"/>
    <n v="3"/>
    <n v="9"/>
    <n v="0"/>
    <n v="7"/>
    <n v="8"/>
    <x v="2"/>
    <x v="0"/>
  </r>
  <r>
    <n v="25"/>
    <s v="No"/>
    <s v="Non-Travel"/>
    <n v="675"/>
    <s v="Research &amp; Development"/>
    <n v="5"/>
    <n v="2"/>
    <s v="Life Sciences"/>
    <n v="1"/>
    <n v="369"/>
    <n v="2"/>
    <s v="Male"/>
    <n v="85"/>
    <n v="4"/>
    <x v="0"/>
    <s v="Healthcare Representative"/>
    <n v="1"/>
    <s v="Divorced"/>
    <x v="261"/>
    <n v="18384"/>
    <n v="1"/>
    <s v="Y"/>
    <s v="No"/>
    <n v="12"/>
    <n v="3"/>
    <n v="4"/>
    <n v="80"/>
    <n v="2"/>
    <n v="6"/>
    <n v="2"/>
    <n v="3"/>
    <n v="6"/>
    <n v="3"/>
    <n v="1"/>
    <n v="5"/>
    <x v="4"/>
    <x v="0"/>
  </r>
  <r>
    <n v="45"/>
    <s v="No"/>
    <s v="Travel_Rarely"/>
    <n v="1385"/>
    <s v="Research &amp; Development"/>
    <n v="20"/>
    <n v="2"/>
    <s v="Medical"/>
    <n v="1"/>
    <n v="372"/>
    <n v="3"/>
    <s v="Male"/>
    <n v="79"/>
    <n v="3"/>
    <x v="3"/>
    <s v="Healthcare Representative"/>
    <n v="4"/>
    <s v="Married"/>
    <x v="262"/>
    <n v="7501"/>
    <n v="0"/>
    <s v="Y"/>
    <s v="Yes"/>
    <n v="14"/>
    <n v="3"/>
    <n v="2"/>
    <n v="80"/>
    <n v="0"/>
    <n v="21"/>
    <n v="2"/>
    <n v="3"/>
    <n v="20"/>
    <n v="7"/>
    <n v="4"/>
    <n v="10"/>
    <x v="0"/>
    <x v="3"/>
  </r>
  <r>
    <n v="36"/>
    <s v="No"/>
    <s v="Travel_Rarely"/>
    <n v="1403"/>
    <s v="Research &amp; Development"/>
    <n v="6"/>
    <n v="3"/>
    <s v="Life Sciences"/>
    <n v="1"/>
    <n v="373"/>
    <n v="4"/>
    <s v="Male"/>
    <n v="47"/>
    <n v="3"/>
    <x v="1"/>
    <s v="Laboratory Technician"/>
    <n v="4"/>
    <s v="Married"/>
    <x v="263"/>
    <n v="20251"/>
    <n v="0"/>
    <s v="Y"/>
    <s v="No"/>
    <n v="11"/>
    <n v="3"/>
    <n v="3"/>
    <n v="80"/>
    <n v="1"/>
    <n v="16"/>
    <n v="4"/>
    <n v="3"/>
    <n v="15"/>
    <n v="13"/>
    <n v="10"/>
    <n v="11"/>
    <x v="0"/>
    <x v="0"/>
  </r>
  <r>
    <n v="55"/>
    <s v="No"/>
    <s v="Travel_Rarely"/>
    <n v="452"/>
    <s v="Research &amp; Development"/>
    <n v="1"/>
    <n v="3"/>
    <s v="Medical"/>
    <n v="1"/>
    <n v="374"/>
    <n v="4"/>
    <s v="Male"/>
    <n v="81"/>
    <n v="3"/>
    <x v="4"/>
    <s v="Manager"/>
    <n v="1"/>
    <s v="Single"/>
    <x v="264"/>
    <n v="18938"/>
    <n v="0"/>
    <s v="Y"/>
    <s v="Yes"/>
    <n v="14"/>
    <n v="3"/>
    <n v="3"/>
    <n v="80"/>
    <n v="0"/>
    <n v="37"/>
    <n v="2"/>
    <n v="3"/>
    <n v="36"/>
    <n v="10"/>
    <n v="4"/>
    <n v="13"/>
    <x v="1"/>
    <x v="3"/>
  </r>
  <r>
    <n v="47"/>
    <s v="Yes"/>
    <s v="Non-Travel"/>
    <n v="666"/>
    <s v="Research &amp; Development"/>
    <n v="29"/>
    <n v="4"/>
    <s v="Life Sciences"/>
    <n v="1"/>
    <n v="376"/>
    <n v="1"/>
    <s v="Male"/>
    <n v="88"/>
    <n v="3"/>
    <x v="2"/>
    <s v="Manager"/>
    <n v="2"/>
    <s v="Married"/>
    <x v="265"/>
    <n v="10268"/>
    <n v="1"/>
    <s v="Y"/>
    <s v="Yes"/>
    <n v="12"/>
    <n v="3"/>
    <n v="4"/>
    <n v="80"/>
    <n v="1"/>
    <n v="10"/>
    <n v="2"/>
    <n v="2"/>
    <n v="10"/>
    <n v="7"/>
    <n v="9"/>
    <n v="9"/>
    <x v="1"/>
    <x v="2"/>
  </r>
  <r>
    <n v="28"/>
    <s v="No"/>
    <s v="Travel_Rarely"/>
    <n v="1158"/>
    <s v="Research &amp; Development"/>
    <n v="9"/>
    <n v="3"/>
    <s v="Medical"/>
    <n v="1"/>
    <n v="377"/>
    <n v="4"/>
    <s v="Male"/>
    <n v="94"/>
    <n v="3"/>
    <x v="1"/>
    <s v="Research Scientist"/>
    <n v="4"/>
    <s v="Married"/>
    <x v="266"/>
    <n v="2613"/>
    <n v="1"/>
    <s v="Y"/>
    <s v="No"/>
    <n v="23"/>
    <n v="4"/>
    <n v="4"/>
    <n v="80"/>
    <n v="1"/>
    <n v="5"/>
    <n v="3"/>
    <n v="2"/>
    <n v="5"/>
    <n v="2"/>
    <n v="0"/>
    <n v="4"/>
    <x v="2"/>
    <x v="1"/>
  </r>
  <r>
    <n v="37"/>
    <s v="No"/>
    <s v="Travel_Rarely"/>
    <n v="228"/>
    <s v="Sales"/>
    <n v="6"/>
    <n v="4"/>
    <s v="Medical"/>
    <n v="1"/>
    <n v="378"/>
    <n v="3"/>
    <s v="Male"/>
    <n v="98"/>
    <n v="3"/>
    <x v="0"/>
    <s v="Sales Executive"/>
    <n v="4"/>
    <s v="Married"/>
    <x v="267"/>
    <n v="22825"/>
    <n v="4"/>
    <s v="Y"/>
    <s v="No"/>
    <n v="14"/>
    <n v="3"/>
    <n v="2"/>
    <n v="80"/>
    <n v="1"/>
    <n v="7"/>
    <n v="5"/>
    <n v="4"/>
    <n v="5"/>
    <n v="4"/>
    <n v="0"/>
    <n v="1"/>
    <x v="0"/>
    <x v="0"/>
  </r>
  <r>
    <n v="21"/>
    <s v="No"/>
    <s v="Travel_Rarely"/>
    <n v="996"/>
    <s v="Research &amp; Development"/>
    <n v="3"/>
    <n v="2"/>
    <s v="Medical"/>
    <n v="1"/>
    <n v="379"/>
    <n v="4"/>
    <s v="Male"/>
    <n v="100"/>
    <n v="2"/>
    <x v="1"/>
    <s v="Research Scientist"/>
    <n v="3"/>
    <s v="Single"/>
    <x v="268"/>
    <n v="10531"/>
    <n v="1"/>
    <s v="Y"/>
    <s v="No"/>
    <n v="17"/>
    <n v="3"/>
    <n v="1"/>
    <n v="80"/>
    <n v="0"/>
    <n v="3"/>
    <n v="4"/>
    <n v="4"/>
    <n v="3"/>
    <n v="2"/>
    <n v="1"/>
    <n v="0"/>
    <x v="4"/>
    <x v="0"/>
  </r>
  <r>
    <n v="37"/>
    <s v="No"/>
    <s v="Non-Travel"/>
    <n v="728"/>
    <s v="Research &amp; Development"/>
    <n v="1"/>
    <n v="4"/>
    <s v="Medical"/>
    <n v="1"/>
    <n v="380"/>
    <n v="1"/>
    <s v="Female"/>
    <n v="80"/>
    <n v="3"/>
    <x v="2"/>
    <s v="Research Director"/>
    <n v="4"/>
    <s v="Divorced"/>
    <x v="269"/>
    <n v="11677"/>
    <n v="2"/>
    <s v="Y"/>
    <s v="Yes"/>
    <n v="18"/>
    <n v="3"/>
    <n v="1"/>
    <n v="80"/>
    <n v="2"/>
    <n v="15"/>
    <n v="2"/>
    <n v="3"/>
    <n v="5"/>
    <n v="2"/>
    <n v="0"/>
    <n v="2"/>
    <x v="0"/>
    <x v="3"/>
  </r>
  <r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x v="2"/>
    <s v="Manager"/>
    <n v="2"/>
    <s v="Divorced"/>
    <x v="270"/>
    <n v="19100"/>
    <n v="7"/>
    <s v="Y"/>
    <s v="No"/>
    <n v="18"/>
    <n v="3"/>
    <n v="2"/>
    <n v="80"/>
    <n v="1"/>
    <n v="10"/>
    <n v="6"/>
    <n v="2"/>
    <n v="7"/>
    <n v="7"/>
    <n v="6"/>
    <n v="2"/>
    <x v="2"/>
    <x v="2"/>
  </r>
  <r>
    <n v="38"/>
    <s v="No"/>
    <s v="Travel_Rarely"/>
    <n v="322"/>
    <s v="Sales"/>
    <n v="7"/>
    <n v="2"/>
    <s v="Medical"/>
    <n v="1"/>
    <n v="382"/>
    <n v="1"/>
    <s v="Female"/>
    <n v="44"/>
    <n v="4"/>
    <x v="0"/>
    <s v="Sales Executive"/>
    <n v="1"/>
    <s v="Divorced"/>
    <x v="147"/>
    <n v="19191"/>
    <n v="1"/>
    <s v="Y"/>
    <s v="Yes"/>
    <n v="24"/>
    <n v="4"/>
    <n v="3"/>
    <n v="80"/>
    <n v="1"/>
    <n v="8"/>
    <n v="3"/>
    <n v="3"/>
    <n v="8"/>
    <n v="0"/>
    <n v="7"/>
    <n v="7"/>
    <x v="0"/>
    <x v="0"/>
  </r>
  <r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x v="0"/>
    <s v="Manufacturing Director"/>
    <n v="2"/>
    <s v="Divorced"/>
    <x v="271"/>
    <n v="26767"/>
    <n v="1"/>
    <s v="Y"/>
    <s v="No"/>
    <n v="20"/>
    <n v="4"/>
    <n v="1"/>
    <n v="80"/>
    <n v="1"/>
    <n v="6"/>
    <n v="6"/>
    <n v="1"/>
    <n v="6"/>
    <n v="5"/>
    <n v="1"/>
    <n v="4"/>
    <x v="2"/>
    <x v="0"/>
  </r>
  <r>
    <n v="50"/>
    <s v="No"/>
    <s v="Travel_Rarely"/>
    <n v="797"/>
    <s v="Research &amp; Development"/>
    <n v="4"/>
    <n v="1"/>
    <s v="Life Sciences"/>
    <n v="1"/>
    <n v="385"/>
    <n v="1"/>
    <s v="Male"/>
    <n v="96"/>
    <n v="3"/>
    <x v="4"/>
    <s v="Research Director"/>
    <n v="2"/>
    <s v="Divorced"/>
    <x v="272"/>
    <n v="15815"/>
    <n v="3"/>
    <s v="Y"/>
    <s v="No"/>
    <n v="14"/>
    <n v="3"/>
    <n v="1"/>
    <n v="80"/>
    <n v="2"/>
    <n v="28"/>
    <n v="4"/>
    <n v="2"/>
    <n v="10"/>
    <n v="4"/>
    <n v="1"/>
    <n v="6"/>
    <x v="1"/>
    <x v="3"/>
  </r>
  <r>
    <n v="53"/>
    <s v="No"/>
    <s v="Travel_Rarely"/>
    <n v="1070"/>
    <s v="Research &amp; Development"/>
    <n v="3"/>
    <n v="4"/>
    <s v="Medical"/>
    <n v="1"/>
    <n v="386"/>
    <n v="3"/>
    <s v="Male"/>
    <n v="45"/>
    <n v="3"/>
    <x v="3"/>
    <s v="Research Director"/>
    <n v="3"/>
    <s v="Married"/>
    <x v="273"/>
    <n v="21016"/>
    <n v="3"/>
    <s v="Y"/>
    <s v="Yes"/>
    <n v="16"/>
    <n v="3"/>
    <n v="4"/>
    <n v="80"/>
    <n v="3"/>
    <n v="21"/>
    <n v="5"/>
    <n v="2"/>
    <n v="5"/>
    <n v="3"/>
    <n v="1"/>
    <n v="3"/>
    <x v="1"/>
    <x v="3"/>
  </r>
  <r>
    <n v="42"/>
    <s v="No"/>
    <s v="Travel_Rarely"/>
    <n v="635"/>
    <s v="Sales"/>
    <n v="1"/>
    <n v="1"/>
    <s v="Life Sciences"/>
    <n v="1"/>
    <n v="387"/>
    <n v="2"/>
    <s v="Male"/>
    <n v="99"/>
    <n v="3"/>
    <x v="0"/>
    <s v="Sales Executive"/>
    <n v="3"/>
    <s v="Married"/>
    <x v="274"/>
    <n v="24532"/>
    <n v="1"/>
    <s v="Y"/>
    <s v="No"/>
    <n v="25"/>
    <n v="4"/>
    <n v="3"/>
    <n v="80"/>
    <n v="0"/>
    <n v="20"/>
    <n v="3"/>
    <n v="3"/>
    <n v="20"/>
    <n v="16"/>
    <n v="11"/>
    <n v="6"/>
    <x v="0"/>
    <x v="0"/>
  </r>
  <r>
    <n v="29"/>
    <s v="No"/>
    <s v="Travel_Frequently"/>
    <n v="442"/>
    <s v="Sales"/>
    <n v="2"/>
    <n v="2"/>
    <s v="Life Sciences"/>
    <n v="1"/>
    <n v="388"/>
    <n v="2"/>
    <s v="Male"/>
    <n v="44"/>
    <n v="3"/>
    <x v="0"/>
    <s v="Sales Executive"/>
    <n v="4"/>
    <s v="Single"/>
    <x v="275"/>
    <n v="20260"/>
    <n v="1"/>
    <s v="Y"/>
    <s v="No"/>
    <n v="18"/>
    <n v="3"/>
    <n v="1"/>
    <n v="80"/>
    <n v="0"/>
    <n v="10"/>
    <n v="3"/>
    <n v="2"/>
    <n v="10"/>
    <n v="7"/>
    <n v="0"/>
    <n v="9"/>
    <x v="2"/>
    <x v="0"/>
  </r>
  <r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x v="0"/>
    <s v="Laboratory Technician"/>
    <n v="4"/>
    <s v="Married"/>
    <x v="276"/>
    <n v="15972"/>
    <n v="3"/>
    <s v="Y"/>
    <s v="Yes"/>
    <n v="19"/>
    <n v="3"/>
    <n v="4"/>
    <n v="80"/>
    <n v="1"/>
    <n v="12"/>
    <n v="4"/>
    <n v="3"/>
    <n v="10"/>
    <n v="7"/>
    <n v="0"/>
    <n v="8"/>
    <x v="1"/>
    <x v="0"/>
  </r>
  <r>
    <n v="26"/>
    <s v="No"/>
    <s v="Travel_Frequently"/>
    <n v="496"/>
    <s v="Research &amp; Development"/>
    <n v="11"/>
    <n v="2"/>
    <s v="Medical"/>
    <n v="1"/>
    <n v="390"/>
    <n v="1"/>
    <s v="Male"/>
    <n v="60"/>
    <n v="3"/>
    <x v="0"/>
    <s v="Healthcare Representative"/>
    <n v="1"/>
    <s v="Married"/>
    <x v="277"/>
    <n v="22722"/>
    <n v="1"/>
    <s v="Y"/>
    <s v="Yes"/>
    <n v="13"/>
    <n v="3"/>
    <n v="3"/>
    <n v="80"/>
    <n v="1"/>
    <n v="5"/>
    <n v="3"/>
    <n v="3"/>
    <n v="5"/>
    <n v="3"/>
    <n v="3"/>
    <n v="3"/>
    <x v="2"/>
    <x v="0"/>
  </r>
  <r>
    <n v="37"/>
    <s v="No"/>
    <s v="Travel_Rarely"/>
    <n v="1372"/>
    <s v="Research &amp; Development"/>
    <n v="1"/>
    <n v="3"/>
    <s v="Life Sciences"/>
    <n v="1"/>
    <n v="391"/>
    <n v="4"/>
    <s v="Female"/>
    <n v="42"/>
    <n v="3"/>
    <x v="1"/>
    <s v="Research Scientist"/>
    <n v="4"/>
    <s v="Single"/>
    <x v="278"/>
    <n v="15881"/>
    <n v="1"/>
    <s v="Y"/>
    <s v="No"/>
    <n v="12"/>
    <n v="3"/>
    <n v="2"/>
    <n v="80"/>
    <n v="0"/>
    <n v="17"/>
    <n v="3"/>
    <n v="3"/>
    <n v="17"/>
    <n v="12"/>
    <n v="5"/>
    <n v="7"/>
    <x v="0"/>
    <x v="1"/>
  </r>
  <r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x v="1"/>
    <s v="Laboratory Technician"/>
    <n v="3"/>
    <s v="Divorced"/>
    <x v="279"/>
    <n v="19920"/>
    <n v="3"/>
    <s v="Y"/>
    <s v="Yes"/>
    <n v="22"/>
    <n v="4"/>
    <n v="4"/>
    <n v="80"/>
    <n v="1"/>
    <n v="19"/>
    <n v="0"/>
    <n v="1"/>
    <n v="1"/>
    <n v="0"/>
    <n v="0"/>
    <n v="0"/>
    <x v="0"/>
    <x v="0"/>
  </r>
  <r>
    <n v="38"/>
    <s v="No"/>
    <s v="Travel_Rarely"/>
    <n v="688"/>
    <s v="Research &amp; Development"/>
    <n v="23"/>
    <n v="4"/>
    <s v="Life Sciences"/>
    <n v="1"/>
    <n v="393"/>
    <n v="4"/>
    <s v="Male"/>
    <n v="82"/>
    <n v="3"/>
    <x v="0"/>
    <s v="Healthcare Representative"/>
    <n v="4"/>
    <s v="Divorced"/>
    <x v="280"/>
    <n v="18899"/>
    <n v="9"/>
    <s v="Y"/>
    <s v="No"/>
    <n v="14"/>
    <n v="3"/>
    <n v="2"/>
    <n v="80"/>
    <n v="1"/>
    <n v="10"/>
    <n v="2"/>
    <n v="3"/>
    <n v="2"/>
    <n v="2"/>
    <n v="1"/>
    <n v="2"/>
    <x v="0"/>
    <x v="0"/>
  </r>
  <r>
    <n v="26"/>
    <s v="Yes"/>
    <s v="Travel_Rarely"/>
    <n v="1449"/>
    <s v="Research &amp; Development"/>
    <n v="16"/>
    <n v="4"/>
    <s v="Medical"/>
    <n v="1"/>
    <n v="394"/>
    <n v="1"/>
    <s v="Male"/>
    <n v="45"/>
    <n v="3"/>
    <x v="1"/>
    <s v="Laboratory Technician"/>
    <n v="2"/>
    <s v="Divorced"/>
    <x v="281"/>
    <n v="14180"/>
    <n v="2"/>
    <s v="Y"/>
    <s v="Yes"/>
    <n v="13"/>
    <n v="3"/>
    <n v="4"/>
    <n v="80"/>
    <n v="1"/>
    <n v="5"/>
    <n v="2"/>
    <n v="3"/>
    <n v="3"/>
    <n v="2"/>
    <n v="0"/>
    <n v="2"/>
    <x v="2"/>
    <x v="1"/>
  </r>
  <r>
    <n v="28"/>
    <s v="No"/>
    <s v="Travel_Rarely"/>
    <n v="1117"/>
    <s v="Research &amp; Development"/>
    <n v="8"/>
    <n v="2"/>
    <s v="Life Sciences"/>
    <n v="1"/>
    <n v="395"/>
    <n v="4"/>
    <s v="Female"/>
    <n v="66"/>
    <n v="3"/>
    <x v="1"/>
    <s v="Research Scientist"/>
    <n v="4"/>
    <s v="Single"/>
    <x v="282"/>
    <n v="4488"/>
    <n v="1"/>
    <s v="Y"/>
    <s v="No"/>
    <n v="21"/>
    <n v="4"/>
    <n v="4"/>
    <n v="80"/>
    <n v="0"/>
    <n v="5"/>
    <n v="3"/>
    <n v="3"/>
    <n v="5"/>
    <n v="3"/>
    <n v="0"/>
    <n v="2"/>
    <x v="2"/>
    <x v="0"/>
  </r>
  <r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x v="4"/>
    <s v="Research Director"/>
    <n v="1"/>
    <s v="Single"/>
    <x v="283"/>
    <n v="25594"/>
    <n v="9"/>
    <s v="Y"/>
    <s v="Yes"/>
    <n v="11"/>
    <n v="3"/>
    <n v="4"/>
    <n v="80"/>
    <n v="0"/>
    <n v="22"/>
    <n v="4"/>
    <n v="3"/>
    <n v="3"/>
    <n v="2"/>
    <n v="1"/>
    <n v="2"/>
    <x v="1"/>
    <x v="3"/>
  </r>
  <r>
    <n v="36"/>
    <s v="No"/>
    <s v="Travel_Rarely"/>
    <n v="506"/>
    <s v="Research &amp; Development"/>
    <n v="3"/>
    <n v="3"/>
    <s v="Technical Degree"/>
    <n v="1"/>
    <n v="397"/>
    <n v="3"/>
    <s v="Male"/>
    <n v="30"/>
    <n v="3"/>
    <x v="0"/>
    <s v="Research Scientist"/>
    <n v="2"/>
    <s v="Single"/>
    <x v="284"/>
    <n v="26285"/>
    <n v="4"/>
    <s v="Y"/>
    <s v="No"/>
    <n v="12"/>
    <n v="3"/>
    <n v="4"/>
    <n v="80"/>
    <n v="0"/>
    <n v="10"/>
    <n v="2"/>
    <n v="3"/>
    <n v="8"/>
    <n v="0"/>
    <n v="7"/>
    <n v="7"/>
    <x v="0"/>
    <x v="0"/>
  </r>
  <r>
    <n v="31"/>
    <s v="No"/>
    <s v="Travel_Frequently"/>
    <n v="444"/>
    <s v="Sales"/>
    <n v="5"/>
    <n v="3"/>
    <s v="Marketing"/>
    <n v="1"/>
    <n v="399"/>
    <n v="4"/>
    <s v="Female"/>
    <n v="84"/>
    <n v="3"/>
    <x v="1"/>
    <s v="Sales Representative"/>
    <n v="2"/>
    <s v="Divorced"/>
    <x v="285"/>
    <n v="3909"/>
    <n v="1"/>
    <s v="Y"/>
    <s v="No"/>
    <n v="11"/>
    <n v="3"/>
    <n v="3"/>
    <n v="80"/>
    <n v="1"/>
    <n v="2"/>
    <n v="5"/>
    <n v="2"/>
    <n v="2"/>
    <n v="2"/>
    <n v="2"/>
    <n v="2"/>
    <x v="2"/>
    <x v="1"/>
  </r>
  <r>
    <n v="26"/>
    <s v="Yes"/>
    <s v="Travel_Rarely"/>
    <n v="950"/>
    <s v="Sales"/>
    <n v="4"/>
    <n v="4"/>
    <s v="Marketing"/>
    <n v="1"/>
    <n v="401"/>
    <n v="4"/>
    <s v="Male"/>
    <n v="48"/>
    <n v="2"/>
    <x v="0"/>
    <s v="Sales Executive"/>
    <n v="4"/>
    <s v="Single"/>
    <x v="286"/>
    <n v="8450"/>
    <n v="1"/>
    <s v="Y"/>
    <s v="Yes"/>
    <n v="12"/>
    <n v="3"/>
    <n v="2"/>
    <n v="80"/>
    <n v="0"/>
    <n v="8"/>
    <n v="0"/>
    <n v="3"/>
    <n v="8"/>
    <n v="7"/>
    <n v="7"/>
    <n v="4"/>
    <x v="2"/>
    <x v="0"/>
  </r>
  <r>
    <n v="37"/>
    <s v="No"/>
    <s v="Travel_Frequently"/>
    <n v="889"/>
    <s v="Research &amp; Development"/>
    <n v="9"/>
    <n v="3"/>
    <s v="Medical"/>
    <n v="1"/>
    <n v="403"/>
    <n v="2"/>
    <s v="Male"/>
    <n v="53"/>
    <n v="3"/>
    <x v="1"/>
    <s v="Research Scientist"/>
    <n v="4"/>
    <s v="Married"/>
    <x v="287"/>
    <n v="11411"/>
    <n v="1"/>
    <s v="Y"/>
    <s v="Yes"/>
    <n v="12"/>
    <n v="3"/>
    <n v="3"/>
    <n v="80"/>
    <n v="3"/>
    <n v="4"/>
    <n v="3"/>
    <n v="2"/>
    <n v="4"/>
    <n v="2"/>
    <n v="1"/>
    <n v="2"/>
    <x v="0"/>
    <x v="1"/>
  </r>
  <r>
    <n v="42"/>
    <s v="No"/>
    <s v="Travel_Frequently"/>
    <n v="555"/>
    <s v="Sales"/>
    <n v="26"/>
    <n v="3"/>
    <s v="Marketing"/>
    <n v="1"/>
    <n v="404"/>
    <n v="3"/>
    <s v="Female"/>
    <n v="77"/>
    <n v="3"/>
    <x v="3"/>
    <s v="Sales Executive"/>
    <n v="2"/>
    <s v="Married"/>
    <x v="288"/>
    <n v="14864"/>
    <n v="5"/>
    <s v="Y"/>
    <s v="No"/>
    <n v="14"/>
    <n v="3"/>
    <n v="4"/>
    <n v="80"/>
    <n v="1"/>
    <n v="23"/>
    <n v="2"/>
    <n v="4"/>
    <n v="20"/>
    <n v="4"/>
    <n v="4"/>
    <n v="8"/>
    <x v="0"/>
    <x v="3"/>
  </r>
  <r>
    <n v="18"/>
    <s v="Yes"/>
    <s v="Travel_Rarely"/>
    <n v="230"/>
    <s v="Research &amp; Development"/>
    <n v="3"/>
    <n v="3"/>
    <s v="Life Sciences"/>
    <n v="1"/>
    <n v="405"/>
    <n v="3"/>
    <s v="Male"/>
    <n v="54"/>
    <n v="3"/>
    <x v="1"/>
    <s v="Laboratory Technician"/>
    <n v="3"/>
    <s v="Single"/>
    <x v="289"/>
    <n v="25233"/>
    <n v="1"/>
    <s v="Y"/>
    <s v="No"/>
    <n v="13"/>
    <n v="3"/>
    <n v="3"/>
    <n v="80"/>
    <n v="0"/>
    <n v="0"/>
    <n v="2"/>
    <n v="3"/>
    <n v="0"/>
    <n v="0"/>
    <n v="0"/>
    <n v="0"/>
    <x v="4"/>
    <x v="1"/>
  </r>
  <r>
    <n v="35"/>
    <s v="No"/>
    <s v="Travel_Rarely"/>
    <n v="1232"/>
    <s v="Sales"/>
    <n v="16"/>
    <n v="3"/>
    <s v="Marketing"/>
    <n v="1"/>
    <n v="406"/>
    <n v="3"/>
    <s v="Male"/>
    <n v="96"/>
    <n v="3"/>
    <x v="2"/>
    <s v="Sales Executive"/>
    <n v="2"/>
    <s v="Married"/>
    <x v="290"/>
    <n v="5100"/>
    <n v="0"/>
    <s v="Y"/>
    <s v="No"/>
    <n v="15"/>
    <n v="3"/>
    <n v="3"/>
    <n v="80"/>
    <n v="2"/>
    <n v="12"/>
    <n v="3"/>
    <n v="2"/>
    <n v="11"/>
    <n v="9"/>
    <n v="6"/>
    <n v="9"/>
    <x v="2"/>
    <x v="2"/>
  </r>
  <r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x v="1"/>
    <s v="Laboratory Technician"/>
    <n v="4"/>
    <s v="Married"/>
    <x v="291"/>
    <n v="7122"/>
    <n v="4"/>
    <s v="Y"/>
    <s v="No"/>
    <n v="18"/>
    <n v="3"/>
    <n v="4"/>
    <n v="80"/>
    <n v="2"/>
    <n v="4"/>
    <n v="2"/>
    <n v="3"/>
    <n v="1"/>
    <n v="0"/>
    <n v="0"/>
    <n v="0"/>
    <x v="0"/>
    <x v="0"/>
  </r>
  <r>
    <n v="51"/>
    <s v="No"/>
    <s v="Travel_Rarely"/>
    <n v="1302"/>
    <s v="Research &amp; Development"/>
    <n v="2"/>
    <n v="3"/>
    <s v="Medical"/>
    <n v="1"/>
    <n v="408"/>
    <n v="4"/>
    <s v="Male"/>
    <n v="84"/>
    <n v="1"/>
    <x v="0"/>
    <s v="Manufacturing Director"/>
    <n v="2"/>
    <s v="Divorced"/>
    <x v="292"/>
    <n v="16321"/>
    <n v="5"/>
    <s v="Y"/>
    <s v="No"/>
    <n v="18"/>
    <n v="3"/>
    <n v="4"/>
    <n v="80"/>
    <n v="1"/>
    <n v="13"/>
    <n v="3"/>
    <n v="3"/>
    <n v="4"/>
    <n v="1"/>
    <n v="1"/>
    <n v="2"/>
    <x v="1"/>
    <x v="0"/>
  </r>
  <r>
    <n v="41"/>
    <s v="No"/>
    <s v="Travel_Rarely"/>
    <n v="334"/>
    <s v="Sales"/>
    <n v="2"/>
    <n v="4"/>
    <s v="Life Sciences"/>
    <n v="1"/>
    <n v="410"/>
    <n v="4"/>
    <s v="Male"/>
    <n v="88"/>
    <n v="3"/>
    <x v="3"/>
    <s v="Manager"/>
    <n v="2"/>
    <s v="Single"/>
    <x v="293"/>
    <n v="15896"/>
    <n v="1"/>
    <s v="Y"/>
    <s v="No"/>
    <n v="19"/>
    <n v="3"/>
    <n v="2"/>
    <n v="80"/>
    <n v="0"/>
    <n v="22"/>
    <n v="2"/>
    <n v="3"/>
    <n v="22"/>
    <n v="10"/>
    <n v="0"/>
    <n v="4"/>
    <x v="0"/>
    <x v="3"/>
  </r>
  <r>
    <n v="18"/>
    <s v="No"/>
    <s v="Travel_Rarely"/>
    <n v="812"/>
    <s v="Sales"/>
    <n v="10"/>
    <n v="3"/>
    <s v="Medical"/>
    <n v="1"/>
    <n v="411"/>
    <n v="4"/>
    <s v="Female"/>
    <n v="69"/>
    <n v="2"/>
    <x v="1"/>
    <s v="Sales Representative"/>
    <n v="3"/>
    <s v="Single"/>
    <x v="294"/>
    <n v="9724"/>
    <n v="1"/>
    <s v="Y"/>
    <s v="No"/>
    <n v="12"/>
    <n v="3"/>
    <n v="1"/>
    <n v="80"/>
    <n v="0"/>
    <n v="0"/>
    <n v="2"/>
    <n v="3"/>
    <n v="0"/>
    <n v="0"/>
    <n v="0"/>
    <n v="0"/>
    <x v="4"/>
    <x v="1"/>
  </r>
  <r>
    <n v="28"/>
    <s v="No"/>
    <s v="Travel_Rarely"/>
    <n v="1476"/>
    <s v="Research &amp; Development"/>
    <n v="16"/>
    <n v="2"/>
    <s v="Medical"/>
    <n v="1"/>
    <n v="412"/>
    <n v="2"/>
    <s v="Male"/>
    <n v="68"/>
    <n v="4"/>
    <x v="0"/>
    <s v="Healthcare Representative"/>
    <n v="1"/>
    <s v="Single"/>
    <x v="295"/>
    <n v="4824"/>
    <n v="0"/>
    <s v="Y"/>
    <s v="No"/>
    <n v="19"/>
    <n v="3"/>
    <n v="3"/>
    <n v="80"/>
    <n v="0"/>
    <n v="9"/>
    <n v="2"/>
    <n v="3"/>
    <n v="8"/>
    <n v="3"/>
    <n v="0"/>
    <n v="7"/>
    <x v="2"/>
    <x v="0"/>
  </r>
  <r>
    <n v="31"/>
    <s v="No"/>
    <s v="Travel_Rarely"/>
    <n v="218"/>
    <s v="Sales"/>
    <n v="7"/>
    <n v="3"/>
    <s v="Technical Degree"/>
    <n v="1"/>
    <n v="416"/>
    <n v="2"/>
    <s v="Male"/>
    <n v="100"/>
    <n v="4"/>
    <x v="0"/>
    <s v="Sales Executive"/>
    <n v="4"/>
    <s v="Married"/>
    <x v="296"/>
    <n v="12241"/>
    <n v="4"/>
    <s v="Y"/>
    <s v="No"/>
    <n v="11"/>
    <n v="3"/>
    <n v="2"/>
    <n v="80"/>
    <n v="1"/>
    <n v="10"/>
    <n v="3"/>
    <n v="2"/>
    <n v="8"/>
    <n v="7"/>
    <n v="7"/>
    <n v="7"/>
    <x v="2"/>
    <x v="0"/>
  </r>
  <r>
    <n v="39"/>
    <s v="No"/>
    <s v="Travel_Rarely"/>
    <n v="1132"/>
    <s v="Research &amp; Development"/>
    <n v="1"/>
    <n v="3"/>
    <s v="Medical"/>
    <n v="1"/>
    <n v="417"/>
    <n v="3"/>
    <s v="Male"/>
    <n v="48"/>
    <n v="4"/>
    <x v="2"/>
    <s v="Healthcare Representative"/>
    <n v="4"/>
    <s v="Divorced"/>
    <x v="297"/>
    <n v="10942"/>
    <n v="0"/>
    <s v="Y"/>
    <s v="No"/>
    <n v="17"/>
    <n v="3"/>
    <n v="1"/>
    <n v="80"/>
    <n v="3"/>
    <n v="19"/>
    <n v="5"/>
    <n v="2"/>
    <n v="18"/>
    <n v="10"/>
    <n v="3"/>
    <n v="7"/>
    <x v="0"/>
    <x v="2"/>
  </r>
  <r>
    <n v="36"/>
    <s v="No"/>
    <s v="Non-Travel"/>
    <n v="1105"/>
    <s v="Research &amp; Development"/>
    <n v="24"/>
    <n v="4"/>
    <s v="Life Sciences"/>
    <n v="1"/>
    <n v="419"/>
    <n v="2"/>
    <s v="Female"/>
    <n v="47"/>
    <n v="3"/>
    <x v="0"/>
    <s v="Laboratory Technician"/>
    <n v="2"/>
    <s v="Married"/>
    <x v="298"/>
    <n v="6927"/>
    <n v="7"/>
    <s v="Y"/>
    <s v="No"/>
    <n v="15"/>
    <n v="3"/>
    <n v="3"/>
    <n v="80"/>
    <n v="1"/>
    <n v="11"/>
    <n v="3"/>
    <n v="3"/>
    <n v="9"/>
    <n v="8"/>
    <n v="0"/>
    <n v="8"/>
    <x v="0"/>
    <x v="0"/>
  </r>
  <r>
    <n v="32"/>
    <s v="No"/>
    <s v="Travel_Rarely"/>
    <n v="906"/>
    <s v="Sales"/>
    <n v="7"/>
    <n v="3"/>
    <s v="Life Sciences"/>
    <n v="1"/>
    <n v="420"/>
    <n v="4"/>
    <s v="Male"/>
    <n v="91"/>
    <n v="2"/>
    <x v="0"/>
    <s v="Sales Executive"/>
    <n v="3"/>
    <s v="Married"/>
    <x v="299"/>
    <n v="16985"/>
    <n v="1"/>
    <s v="Y"/>
    <s v="No"/>
    <n v="14"/>
    <n v="3"/>
    <n v="3"/>
    <n v="80"/>
    <n v="1"/>
    <n v="13"/>
    <n v="3"/>
    <n v="2"/>
    <n v="13"/>
    <n v="8"/>
    <n v="4"/>
    <n v="8"/>
    <x v="2"/>
    <x v="0"/>
  </r>
  <r>
    <n v="38"/>
    <s v="No"/>
    <s v="Travel_Rarely"/>
    <n v="849"/>
    <s v="Research &amp; Development"/>
    <n v="25"/>
    <n v="2"/>
    <s v="Life Sciences"/>
    <n v="1"/>
    <n v="421"/>
    <n v="1"/>
    <s v="Female"/>
    <n v="81"/>
    <n v="2"/>
    <x v="2"/>
    <s v="Research Director"/>
    <n v="2"/>
    <s v="Married"/>
    <x v="300"/>
    <n v="26707"/>
    <n v="3"/>
    <s v="Y"/>
    <s v="No"/>
    <n v="17"/>
    <n v="3"/>
    <n v="3"/>
    <n v="80"/>
    <n v="1"/>
    <n v="19"/>
    <n v="2"/>
    <n v="3"/>
    <n v="10"/>
    <n v="8"/>
    <n v="0"/>
    <n v="1"/>
    <x v="0"/>
    <x v="3"/>
  </r>
  <r>
    <n v="58"/>
    <s v="No"/>
    <s v="Non-Travel"/>
    <n v="390"/>
    <s v="Research &amp; Development"/>
    <n v="1"/>
    <n v="4"/>
    <s v="Life Sciences"/>
    <n v="1"/>
    <n v="422"/>
    <n v="4"/>
    <s v="Male"/>
    <n v="32"/>
    <n v="1"/>
    <x v="0"/>
    <s v="Healthcare Representative"/>
    <n v="3"/>
    <s v="Divorced"/>
    <x v="301"/>
    <n v="17056"/>
    <n v="2"/>
    <s v="Y"/>
    <s v="Yes"/>
    <n v="13"/>
    <n v="3"/>
    <n v="4"/>
    <n v="80"/>
    <n v="1"/>
    <n v="12"/>
    <n v="2"/>
    <n v="3"/>
    <n v="5"/>
    <n v="3"/>
    <n v="1"/>
    <n v="2"/>
    <x v="3"/>
    <x v="0"/>
  </r>
  <r>
    <n v="31"/>
    <s v="No"/>
    <s v="Travel_Rarely"/>
    <n v="691"/>
    <s v="Research &amp; Development"/>
    <n v="5"/>
    <n v="4"/>
    <s v="Technical Degree"/>
    <n v="1"/>
    <n v="423"/>
    <n v="3"/>
    <s v="Male"/>
    <n v="86"/>
    <n v="3"/>
    <x v="1"/>
    <s v="Research Scientist"/>
    <n v="4"/>
    <s v="Married"/>
    <x v="302"/>
    <n v="10077"/>
    <n v="0"/>
    <s v="Y"/>
    <s v="Yes"/>
    <n v="12"/>
    <n v="3"/>
    <n v="3"/>
    <n v="80"/>
    <n v="1"/>
    <n v="6"/>
    <n v="4"/>
    <n v="3"/>
    <n v="5"/>
    <n v="2"/>
    <n v="0"/>
    <n v="3"/>
    <x v="2"/>
    <x v="0"/>
  </r>
  <r>
    <n v="31"/>
    <s v="No"/>
    <s v="Travel_Rarely"/>
    <n v="106"/>
    <s v="Human Resources"/>
    <n v="2"/>
    <n v="3"/>
    <s v="Human Resources"/>
    <n v="1"/>
    <n v="424"/>
    <n v="1"/>
    <s v="Male"/>
    <n v="62"/>
    <n v="2"/>
    <x v="0"/>
    <s v="Human Resources"/>
    <n v="1"/>
    <s v="Married"/>
    <x v="303"/>
    <n v="17822"/>
    <n v="3"/>
    <s v="Y"/>
    <s v="No"/>
    <n v="12"/>
    <n v="3"/>
    <n v="4"/>
    <n v="80"/>
    <n v="0"/>
    <n v="9"/>
    <n v="1"/>
    <n v="3"/>
    <n v="2"/>
    <n v="2"/>
    <n v="1"/>
    <n v="0"/>
    <x v="2"/>
    <x v="0"/>
  </r>
  <r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x v="2"/>
    <s v="Laboratory Technician"/>
    <n v="1"/>
    <s v="Divorced"/>
    <x v="304"/>
    <n v="20308"/>
    <n v="1"/>
    <s v="Y"/>
    <s v="No"/>
    <n v="18"/>
    <n v="3"/>
    <n v="1"/>
    <n v="80"/>
    <n v="1"/>
    <n v="24"/>
    <n v="2"/>
    <n v="3"/>
    <n v="24"/>
    <n v="9"/>
    <n v="9"/>
    <n v="11"/>
    <x v="0"/>
    <x v="0"/>
  </r>
  <r>
    <n v="31"/>
    <s v="No"/>
    <s v="Travel_Rarely"/>
    <n v="192"/>
    <s v="Research &amp; Development"/>
    <n v="2"/>
    <n v="4"/>
    <s v="Life Sciences"/>
    <n v="1"/>
    <n v="426"/>
    <n v="3"/>
    <s v="Male"/>
    <n v="32"/>
    <n v="3"/>
    <x v="1"/>
    <s v="Research Scientist"/>
    <n v="4"/>
    <s v="Divorced"/>
    <x v="305"/>
    <n v="7747"/>
    <n v="0"/>
    <s v="Y"/>
    <s v="Yes"/>
    <n v="18"/>
    <n v="3"/>
    <n v="2"/>
    <n v="80"/>
    <n v="1"/>
    <n v="3"/>
    <n v="2"/>
    <n v="1"/>
    <n v="2"/>
    <n v="2"/>
    <n v="2"/>
    <n v="2"/>
    <x v="2"/>
    <x v="1"/>
  </r>
  <r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x v="2"/>
    <s v="Manager"/>
    <n v="2"/>
    <s v="Married"/>
    <x v="306"/>
    <n v="23364"/>
    <n v="6"/>
    <s v="Y"/>
    <s v="No"/>
    <n v="11"/>
    <n v="3"/>
    <n v="2"/>
    <n v="80"/>
    <n v="2"/>
    <n v="12"/>
    <n v="2"/>
    <n v="3"/>
    <n v="10"/>
    <n v="6"/>
    <n v="8"/>
    <n v="8"/>
    <x v="2"/>
    <x v="2"/>
  </r>
  <r>
    <n v="39"/>
    <s v="No"/>
    <s v="Travel_Rarely"/>
    <n v="117"/>
    <s v="Research &amp; Development"/>
    <n v="10"/>
    <n v="1"/>
    <s v="Medical"/>
    <n v="1"/>
    <n v="429"/>
    <n v="3"/>
    <s v="Male"/>
    <n v="99"/>
    <n v="3"/>
    <x v="3"/>
    <s v="Manager"/>
    <n v="1"/>
    <s v="Married"/>
    <x v="307"/>
    <n v="5355"/>
    <n v="1"/>
    <s v="Y"/>
    <s v="Yes"/>
    <n v="14"/>
    <n v="3"/>
    <n v="4"/>
    <n v="80"/>
    <n v="0"/>
    <n v="21"/>
    <n v="3"/>
    <n v="3"/>
    <n v="21"/>
    <n v="9"/>
    <n v="11"/>
    <n v="10"/>
    <x v="0"/>
    <x v="3"/>
  </r>
  <r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x v="1"/>
    <s v="Laboratory Technician"/>
    <n v="4"/>
    <s v="Single"/>
    <x v="308"/>
    <n v="10675"/>
    <n v="0"/>
    <s v="Y"/>
    <s v="No"/>
    <n v="19"/>
    <n v="3"/>
    <n v="1"/>
    <n v="80"/>
    <n v="0"/>
    <n v="9"/>
    <n v="5"/>
    <n v="3"/>
    <n v="8"/>
    <n v="7"/>
    <n v="1"/>
    <n v="7"/>
    <x v="0"/>
    <x v="1"/>
  </r>
  <r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x v="3"/>
    <s v="Healthcare Representative"/>
    <n v="3"/>
    <s v="Single"/>
    <x v="309"/>
    <n v="17810"/>
    <n v="7"/>
    <s v="Y"/>
    <s v="Yes"/>
    <n v="12"/>
    <n v="3"/>
    <n v="4"/>
    <n v="80"/>
    <n v="0"/>
    <n v="25"/>
    <n v="2"/>
    <n v="3"/>
    <n v="7"/>
    <n v="1"/>
    <n v="0"/>
    <n v="7"/>
    <x v="1"/>
    <x v="3"/>
  </r>
  <r>
    <n v="52"/>
    <s v="Yes"/>
    <s v="Travel_Rarely"/>
    <n v="723"/>
    <s v="Research &amp; Development"/>
    <n v="8"/>
    <n v="4"/>
    <s v="Medical"/>
    <n v="1"/>
    <n v="433"/>
    <n v="3"/>
    <s v="Male"/>
    <n v="85"/>
    <n v="2"/>
    <x v="0"/>
    <s v="Research Scientist"/>
    <n v="2"/>
    <s v="Married"/>
    <x v="132"/>
    <n v="17747"/>
    <n v="2"/>
    <s v="Y"/>
    <s v="No"/>
    <n v="15"/>
    <n v="3"/>
    <n v="1"/>
    <n v="80"/>
    <n v="0"/>
    <n v="11"/>
    <n v="3"/>
    <n v="2"/>
    <n v="8"/>
    <n v="2"/>
    <n v="7"/>
    <n v="7"/>
    <x v="1"/>
    <x v="0"/>
  </r>
  <r>
    <n v="27"/>
    <s v="No"/>
    <s v="Travel_Rarely"/>
    <n v="1220"/>
    <s v="Research &amp; Development"/>
    <n v="5"/>
    <n v="3"/>
    <s v="Life Sciences"/>
    <n v="1"/>
    <n v="434"/>
    <n v="3"/>
    <s v="Female"/>
    <n v="85"/>
    <n v="3"/>
    <x v="1"/>
    <s v="Research Scientist"/>
    <n v="2"/>
    <s v="Single"/>
    <x v="310"/>
    <n v="20938"/>
    <n v="1"/>
    <s v="Y"/>
    <s v="Yes"/>
    <n v="12"/>
    <n v="3"/>
    <n v="2"/>
    <n v="80"/>
    <n v="0"/>
    <n v="4"/>
    <n v="2"/>
    <n v="2"/>
    <n v="4"/>
    <n v="3"/>
    <n v="1"/>
    <n v="2"/>
    <x v="2"/>
    <x v="1"/>
  </r>
  <r>
    <n v="32"/>
    <s v="No"/>
    <s v="Travel_Rarely"/>
    <n v="588"/>
    <s v="Sales"/>
    <n v="8"/>
    <n v="2"/>
    <s v="Technical Degree"/>
    <n v="1"/>
    <n v="436"/>
    <n v="3"/>
    <s v="Female"/>
    <n v="65"/>
    <n v="2"/>
    <x v="0"/>
    <s v="Sales Executive"/>
    <n v="2"/>
    <s v="Married"/>
    <x v="311"/>
    <n v="24624"/>
    <n v="1"/>
    <s v="Y"/>
    <s v="Yes"/>
    <n v="11"/>
    <n v="3"/>
    <n v="4"/>
    <n v="80"/>
    <n v="0"/>
    <n v="13"/>
    <n v="2"/>
    <n v="3"/>
    <n v="13"/>
    <n v="12"/>
    <n v="11"/>
    <n v="9"/>
    <x v="2"/>
    <x v="0"/>
  </r>
  <r>
    <n v="27"/>
    <s v="No"/>
    <s v="Travel_Rarely"/>
    <n v="1377"/>
    <s v="Sales"/>
    <n v="2"/>
    <n v="3"/>
    <s v="Life Sciences"/>
    <n v="1"/>
    <n v="437"/>
    <n v="4"/>
    <s v="Male"/>
    <n v="74"/>
    <n v="3"/>
    <x v="0"/>
    <s v="Sales Executive"/>
    <n v="3"/>
    <s v="Single"/>
    <x v="312"/>
    <n v="5242"/>
    <n v="1"/>
    <s v="Y"/>
    <s v="Yes"/>
    <n v="11"/>
    <n v="3"/>
    <n v="1"/>
    <n v="80"/>
    <n v="0"/>
    <n v="5"/>
    <n v="3"/>
    <n v="3"/>
    <n v="5"/>
    <n v="4"/>
    <n v="0"/>
    <n v="4"/>
    <x v="2"/>
    <x v="0"/>
  </r>
  <r>
    <n v="31"/>
    <s v="No"/>
    <s v="Travel_Rarely"/>
    <n v="691"/>
    <s v="Sales"/>
    <n v="7"/>
    <n v="3"/>
    <s v="Marketing"/>
    <n v="1"/>
    <n v="438"/>
    <n v="4"/>
    <s v="Male"/>
    <n v="73"/>
    <n v="3"/>
    <x v="0"/>
    <s v="Sales Executive"/>
    <n v="4"/>
    <s v="Divorced"/>
    <x v="313"/>
    <n v="7143"/>
    <n v="4"/>
    <s v="Y"/>
    <s v="No"/>
    <n v="12"/>
    <n v="3"/>
    <n v="4"/>
    <n v="80"/>
    <n v="3"/>
    <n v="13"/>
    <n v="3"/>
    <n v="3"/>
    <n v="7"/>
    <n v="7"/>
    <n v="1"/>
    <n v="7"/>
    <x v="2"/>
    <x v="2"/>
  </r>
  <r>
    <n v="32"/>
    <s v="No"/>
    <s v="Travel_Rarely"/>
    <n v="1018"/>
    <s v="Research &amp; Development"/>
    <n v="2"/>
    <n v="4"/>
    <s v="Medical"/>
    <n v="1"/>
    <n v="439"/>
    <n v="1"/>
    <s v="Female"/>
    <n v="74"/>
    <n v="4"/>
    <x v="0"/>
    <s v="Research Scientist"/>
    <n v="4"/>
    <s v="Single"/>
    <x v="314"/>
    <n v="10557"/>
    <n v="7"/>
    <s v="Y"/>
    <s v="No"/>
    <n v="16"/>
    <n v="3"/>
    <n v="3"/>
    <n v="80"/>
    <n v="0"/>
    <n v="10"/>
    <n v="0"/>
    <n v="2"/>
    <n v="7"/>
    <n v="7"/>
    <n v="0"/>
    <n v="7"/>
    <x v="2"/>
    <x v="0"/>
  </r>
  <r>
    <n v="28"/>
    <s v="Yes"/>
    <s v="Travel_Rarely"/>
    <n v="1157"/>
    <s v="Research &amp; Development"/>
    <n v="2"/>
    <n v="4"/>
    <s v="Medical"/>
    <n v="1"/>
    <n v="440"/>
    <n v="1"/>
    <s v="Male"/>
    <n v="84"/>
    <n v="1"/>
    <x v="1"/>
    <s v="Research Scientist"/>
    <n v="4"/>
    <s v="Married"/>
    <x v="315"/>
    <n v="24737"/>
    <n v="5"/>
    <s v="Y"/>
    <s v="Yes"/>
    <n v="13"/>
    <n v="3"/>
    <n v="4"/>
    <n v="80"/>
    <n v="0"/>
    <n v="5"/>
    <n v="4"/>
    <n v="2"/>
    <n v="3"/>
    <n v="2"/>
    <n v="2"/>
    <n v="2"/>
    <x v="2"/>
    <x v="0"/>
  </r>
  <r>
    <n v="30"/>
    <s v="No"/>
    <s v="Travel_Rarely"/>
    <n v="1275"/>
    <s v="Research &amp; Development"/>
    <n v="28"/>
    <n v="2"/>
    <s v="Medical"/>
    <n v="1"/>
    <n v="441"/>
    <n v="4"/>
    <s v="Female"/>
    <n v="64"/>
    <n v="3"/>
    <x v="0"/>
    <s v="Research Scientist"/>
    <n v="4"/>
    <s v="Married"/>
    <x v="316"/>
    <n v="11934"/>
    <n v="1"/>
    <s v="Y"/>
    <s v="No"/>
    <n v="13"/>
    <n v="3"/>
    <n v="4"/>
    <n v="80"/>
    <n v="2"/>
    <n v="11"/>
    <n v="2"/>
    <n v="3"/>
    <n v="10"/>
    <n v="8"/>
    <n v="1"/>
    <n v="9"/>
    <x v="2"/>
    <x v="0"/>
  </r>
  <r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x v="2"/>
    <s v="Manufacturing Director"/>
    <n v="3"/>
    <s v="Married"/>
    <x v="317"/>
    <n v="14034"/>
    <n v="1"/>
    <s v="Y"/>
    <s v="No"/>
    <n v="24"/>
    <n v="4"/>
    <n v="1"/>
    <n v="80"/>
    <n v="1"/>
    <n v="10"/>
    <n v="2"/>
    <n v="3"/>
    <n v="10"/>
    <n v="9"/>
    <n v="8"/>
    <n v="9"/>
    <x v="2"/>
    <x v="2"/>
  </r>
  <r>
    <n v="39"/>
    <s v="No"/>
    <s v="Travel_Frequently"/>
    <n v="672"/>
    <s v="Research &amp; Development"/>
    <n v="7"/>
    <n v="2"/>
    <s v="Medical"/>
    <n v="1"/>
    <n v="444"/>
    <n v="3"/>
    <s v="Male"/>
    <n v="54"/>
    <n v="2"/>
    <x v="4"/>
    <s v="Manager"/>
    <n v="4"/>
    <s v="Married"/>
    <x v="318"/>
    <n v="21141"/>
    <n v="1"/>
    <s v="Y"/>
    <s v="No"/>
    <n v="15"/>
    <n v="3"/>
    <n v="1"/>
    <n v="80"/>
    <n v="1"/>
    <n v="21"/>
    <n v="2"/>
    <n v="3"/>
    <n v="21"/>
    <n v="9"/>
    <n v="13"/>
    <n v="3"/>
    <x v="0"/>
    <x v="3"/>
  </r>
  <r>
    <n v="39"/>
    <s v="Yes"/>
    <s v="Travel_Rarely"/>
    <n v="1162"/>
    <s v="Sales"/>
    <n v="3"/>
    <n v="2"/>
    <s v="Medical"/>
    <n v="1"/>
    <n v="445"/>
    <n v="4"/>
    <s v="Female"/>
    <n v="41"/>
    <n v="3"/>
    <x v="0"/>
    <s v="Sales Executive"/>
    <n v="3"/>
    <s v="Married"/>
    <x v="319"/>
    <n v="17778"/>
    <n v="4"/>
    <s v="Y"/>
    <s v="Yes"/>
    <n v="18"/>
    <n v="3"/>
    <n v="1"/>
    <n v="80"/>
    <n v="0"/>
    <n v="12"/>
    <n v="3"/>
    <n v="2"/>
    <n v="1"/>
    <n v="0"/>
    <n v="0"/>
    <n v="0"/>
    <x v="0"/>
    <x v="0"/>
  </r>
  <r>
    <n v="33"/>
    <s v="No"/>
    <s v="Travel_Frequently"/>
    <n v="508"/>
    <s v="Sales"/>
    <n v="10"/>
    <n v="3"/>
    <s v="Marketing"/>
    <n v="1"/>
    <n v="446"/>
    <n v="2"/>
    <s v="Male"/>
    <n v="46"/>
    <n v="2"/>
    <x v="0"/>
    <s v="Sales Executive"/>
    <n v="4"/>
    <s v="Single"/>
    <x v="320"/>
    <n v="4317"/>
    <n v="3"/>
    <s v="Y"/>
    <s v="No"/>
    <n v="14"/>
    <n v="3"/>
    <n v="3"/>
    <n v="80"/>
    <n v="0"/>
    <n v="9"/>
    <n v="6"/>
    <n v="2"/>
    <n v="7"/>
    <n v="7"/>
    <n v="0"/>
    <n v="1"/>
    <x v="2"/>
    <x v="0"/>
  </r>
  <r>
    <n v="47"/>
    <s v="No"/>
    <s v="Travel_Rarely"/>
    <n v="1482"/>
    <s v="Research &amp; Development"/>
    <n v="5"/>
    <n v="5"/>
    <s v="Life Sciences"/>
    <n v="1"/>
    <n v="447"/>
    <n v="4"/>
    <s v="Male"/>
    <n v="42"/>
    <n v="3"/>
    <x v="4"/>
    <s v="Research Director"/>
    <n v="3"/>
    <s v="Married"/>
    <x v="321"/>
    <n v="16375"/>
    <n v="4"/>
    <s v="Y"/>
    <s v="No"/>
    <n v="11"/>
    <n v="3"/>
    <n v="2"/>
    <n v="80"/>
    <n v="1"/>
    <n v="21"/>
    <n v="2"/>
    <n v="3"/>
    <n v="3"/>
    <n v="2"/>
    <n v="1"/>
    <n v="1"/>
    <x v="1"/>
    <x v="3"/>
  </r>
  <r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x v="0"/>
    <s v="Laboratory Technician"/>
    <n v="3"/>
    <s v="Divorced"/>
    <x v="322"/>
    <n v="6227"/>
    <n v="1"/>
    <s v="Y"/>
    <s v="No"/>
    <n v="11"/>
    <n v="3"/>
    <n v="2"/>
    <n v="80"/>
    <n v="1"/>
    <n v="9"/>
    <n v="3"/>
    <n v="4"/>
    <n v="9"/>
    <n v="7"/>
    <n v="0"/>
    <n v="0"/>
    <x v="0"/>
    <x v="0"/>
  </r>
  <r>
    <n v="27"/>
    <s v="No"/>
    <s v="Non-Travel"/>
    <n v="210"/>
    <s v="Sales"/>
    <n v="1"/>
    <n v="1"/>
    <s v="Marketing"/>
    <n v="1"/>
    <n v="449"/>
    <n v="3"/>
    <s v="Male"/>
    <n v="73"/>
    <n v="3"/>
    <x v="0"/>
    <s v="Sales Executive"/>
    <n v="2"/>
    <s v="Married"/>
    <x v="323"/>
    <n v="22107"/>
    <n v="0"/>
    <s v="Y"/>
    <s v="Yes"/>
    <n v="13"/>
    <n v="3"/>
    <n v="4"/>
    <n v="80"/>
    <n v="1"/>
    <n v="6"/>
    <n v="0"/>
    <n v="3"/>
    <n v="5"/>
    <n v="4"/>
    <n v="1"/>
    <n v="4"/>
    <x v="2"/>
    <x v="0"/>
  </r>
  <r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x v="0"/>
    <s v="Research Scientist"/>
    <n v="3"/>
    <s v="Single"/>
    <x v="324"/>
    <n v="16885"/>
    <n v="3"/>
    <s v="Y"/>
    <s v="No"/>
    <n v="12"/>
    <n v="3"/>
    <n v="4"/>
    <n v="80"/>
    <n v="0"/>
    <n v="20"/>
    <n v="4"/>
    <n v="2"/>
    <n v="4"/>
    <n v="3"/>
    <n v="0"/>
    <n v="3"/>
    <x v="1"/>
    <x v="0"/>
  </r>
  <r>
    <n v="43"/>
    <s v="No"/>
    <s v="Travel_Rarely"/>
    <n v="1001"/>
    <s v="Research &amp; Development"/>
    <n v="7"/>
    <n v="3"/>
    <s v="Life Sciences"/>
    <n v="1"/>
    <n v="451"/>
    <n v="3"/>
    <s v="Female"/>
    <n v="43"/>
    <n v="3"/>
    <x v="2"/>
    <s v="Healthcare Representative"/>
    <n v="1"/>
    <s v="Married"/>
    <x v="325"/>
    <n v="9262"/>
    <n v="8"/>
    <s v="Y"/>
    <s v="No"/>
    <n v="16"/>
    <n v="3"/>
    <n v="1"/>
    <n v="80"/>
    <n v="1"/>
    <n v="10"/>
    <n v="1"/>
    <n v="2"/>
    <n v="1"/>
    <n v="0"/>
    <n v="0"/>
    <n v="0"/>
    <x v="0"/>
    <x v="2"/>
  </r>
  <r>
    <n v="45"/>
    <s v="No"/>
    <s v="Travel_Rarely"/>
    <n v="549"/>
    <s v="Research &amp; Development"/>
    <n v="8"/>
    <n v="4"/>
    <s v="Other"/>
    <n v="1"/>
    <n v="452"/>
    <n v="4"/>
    <s v="Male"/>
    <n v="75"/>
    <n v="3"/>
    <x v="0"/>
    <s v="Research Scientist"/>
    <n v="4"/>
    <s v="Married"/>
    <x v="326"/>
    <n v="9278"/>
    <n v="9"/>
    <s v="Y"/>
    <s v="No"/>
    <n v="14"/>
    <n v="3"/>
    <n v="1"/>
    <n v="80"/>
    <n v="2"/>
    <n v="12"/>
    <n v="3"/>
    <n v="3"/>
    <n v="10"/>
    <n v="9"/>
    <n v="9"/>
    <n v="8"/>
    <x v="0"/>
    <x v="0"/>
  </r>
  <r>
    <n v="40"/>
    <s v="No"/>
    <s v="Travel_Rarely"/>
    <n v="1124"/>
    <s v="Sales"/>
    <n v="1"/>
    <n v="2"/>
    <s v="Medical"/>
    <n v="1"/>
    <n v="453"/>
    <n v="2"/>
    <s v="Male"/>
    <n v="57"/>
    <n v="1"/>
    <x v="0"/>
    <s v="Sales Executive"/>
    <n v="4"/>
    <s v="Married"/>
    <x v="327"/>
    <n v="13273"/>
    <n v="2"/>
    <s v="Y"/>
    <s v="Yes"/>
    <n v="22"/>
    <n v="4"/>
    <n v="3"/>
    <n v="80"/>
    <n v="3"/>
    <n v="6"/>
    <n v="2"/>
    <n v="2"/>
    <n v="4"/>
    <n v="3"/>
    <n v="0"/>
    <n v="2"/>
    <x v="0"/>
    <x v="2"/>
  </r>
  <r>
    <n v="29"/>
    <s v="Yes"/>
    <s v="Travel_Rarely"/>
    <n v="318"/>
    <s v="Research &amp; Development"/>
    <n v="8"/>
    <n v="4"/>
    <s v="Other"/>
    <n v="1"/>
    <n v="454"/>
    <n v="2"/>
    <s v="Male"/>
    <n v="77"/>
    <n v="1"/>
    <x v="1"/>
    <s v="Laboratory Technician"/>
    <n v="1"/>
    <s v="Married"/>
    <x v="328"/>
    <n v="4759"/>
    <n v="1"/>
    <s v="Y"/>
    <s v="Yes"/>
    <n v="11"/>
    <n v="3"/>
    <n v="4"/>
    <n v="80"/>
    <n v="0"/>
    <n v="7"/>
    <n v="4"/>
    <n v="2"/>
    <n v="7"/>
    <n v="7"/>
    <n v="0"/>
    <n v="7"/>
    <x v="2"/>
    <x v="1"/>
  </r>
  <r>
    <n v="29"/>
    <s v="No"/>
    <s v="Travel_Rarely"/>
    <n v="738"/>
    <s v="Research &amp; Development"/>
    <n v="9"/>
    <n v="5"/>
    <s v="Other"/>
    <n v="1"/>
    <n v="455"/>
    <n v="2"/>
    <s v="Male"/>
    <n v="30"/>
    <n v="2"/>
    <x v="1"/>
    <s v="Laboratory Technician"/>
    <n v="4"/>
    <s v="Single"/>
    <x v="329"/>
    <n v="7621"/>
    <n v="0"/>
    <s v="Y"/>
    <s v="No"/>
    <n v="17"/>
    <n v="3"/>
    <n v="3"/>
    <n v="80"/>
    <n v="0"/>
    <n v="4"/>
    <n v="2"/>
    <n v="3"/>
    <n v="3"/>
    <n v="2"/>
    <n v="2"/>
    <n v="2"/>
    <x v="2"/>
    <x v="0"/>
  </r>
  <r>
    <n v="30"/>
    <s v="No"/>
    <s v="Travel_Rarely"/>
    <n v="570"/>
    <s v="Sales"/>
    <n v="5"/>
    <n v="3"/>
    <s v="Marketing"/>
    <n v="1"/>
    <n v="456"/>
    <n v="4"/>
    <s v="Female"/>
    <n v="30"/>
    <n v="2"/>
    <x v="0"/>
    <s v="Sales Executive"/>
    <n v="3"/>
    <s v="Divorced"/>
    <x v="330"/>
    <n v="5431"/>
    <n v="1"/>
    <s v="Y"/>
    <s v="No"/>
    <n v="13"/>
    <n v="3"/>
    <n v="3"/>
    <n v="80"/>
    <n v="3"/>
    <n v="10"/>
    <n v="2"/>
    <n v="3"/>
    <n v="10"/>
    <n v="9"/>
    <n v="1"/>
    <n v="2"/>
    <x v="2"/>
    <x v="0"/>
  </r>
  <r>
    <n v="27"/>
    <s v="No"/>
    <s v="Travel_Rarely"/>
    <n v="1130"/>
    <s v="Sales"/>
    <n v="8"/>
    <n v="4"/>
    <s v="Marketing"/>
    <n v="1"/>
    <n v="458"/>
    <n v="2"/>
    <s v="Female"/>
    <n v="56"/>
    <n v="3"/>
    <x v="0"/>
    <s v="Sales Executive"/>
    <n v="2"/>
    <s v="Married"/>
    <x v="331"/>
    <n v="3415"/>
    <n v="1"/>
    <s v="Y"/>
    <s v="No"/>
    <n v="18"/>
    <n v="3"/>
    <n v="1"/>
    <n v="80"/>
    <n v="1"/>
    <n v="8"/>
    <n v="3"/>
    <n v="3"/>
    <n v="8"/>
    <n v="7"/>
    <n v="0"/>
    <n v="7"/>
    <x v="2"/>
    <x v="0"/>
  </r>
  <r>
    <n v="37"/>
    <s v="No"/>
    <s v="Travel_Rarely"/>
    <n v="1192"/>
    <s v="Research &amp; Development"/>
    <n v="5"/>
    <n v="2"/>
    <s v="Medical"/>
    <n v="1"/>
    <n v="460"/>
    <n v="4"/>
    <s v="Male"/>
    <n v="61"/>
    <n v="3"/>
    <x v="0"/>
    <s v="Manufacturing Director"/>
    <n v="4"/>
    <s v="Divorced"/>
    <x v="136"/>
    <n v="23177"/>
    <n v="7"/>
    <s v="Y"/>
    <s v="No"/>
    <n v="16"/>
    <n v="3"/>
    <n v="3"/>
    <n v="80"/>
    <n v="2"/>
    <n v="8"/>
    <n v="2"/>
    <n v="2"/>
    <n v="6"/>
    <n v="2"/>
    <n v="0"/>
    <n v="4"/>
    <x v="0"/>
    <x v="0"/>
  </r>
  <r>
    <n v="38"/>
    <s v="No"/>
    <s v="Travel_Rarely"/>
    <n v="343"/>
    <s v="Research &amp; Development"/>
    <n v="15"/>
    <n v="2"/>
    <s v="Life Sciences"/>
    <n v="1"/>
    <n v="461"/>
    <n v="3"/>
    <s v="Male"/>
    <n v="92"/>
    <n v="2"/>
    <x v="2"/>
    <s v="Research Director"/>
    <n v="4"/>
    <s v="Divorced"/>
    <x v="332"/>
    <n v="15682"/>
    <n v="0"/>
    <s v="Y"/>
    <s v="Yes"/>
    <n v="14"/>
    <n v="3"/>
    <n v="2"/>
    <n v="80"/>
    <n v="1"/>
    <n v="12"/>
    <n v="3"/>
    <n v="3"/>
    <n v="11"/>
    <n v="10"/>
    <n v="2"/>
    <n v="9"/>
    <x v="0"/>
    <x v="2"/>
  </r>
  <r>
    <n v="31"/>
    <s v="No"/>
    <s v="Travel_Rarely"/>
    <n v="1232"/>
    <s v="Research &amp; Development"/>
    <n v="7"/>
    <n v="4"/>
    <s v="Medical"/>
    <n v="1"/>
    <n v="462"/>
    <n v="3"/>
    <s v="Female"/>
    <n v="39"/>
    <n v="3"/>
    <x v="2"/>
    <s v="Manufacturing Director"/>
    <n v="4"/>
    <s v="Single"/>
    <x v="333"/>
    <n v="25713"/>
    <n v="1"/>
    <s v="Y"/>
    <s v="Yes"/>
    <n v="14"/>
    <n v="3"/>
    <n v="3"/>
    <n v="80"/>
    <n v="0"/>
    <n v="11"/>
    <n v="2"/>
    <n v="2"/>
    <n v="11"/>
    <n v="9"/>
    <n v="4"/>
    <n v="10"/>
    <x v="2"/>
    <x v="2"/>
  </r>
  <r>
    <n v="29"/>
    <s v="No"/>
    <s v="Travel_Rarely"/>
    <n v="144"/>
    <s v="Sales"/>
    <n v="10"/>
    <n v="1"/>
    <s v="Marketing"/>
    <n v="1"/>
    <n v="463"/>
    <n v="4"/>
    <s v="Female"/>
    <n v="39"/>
    <n v="2"/>
    <x v="0"/>
    <s v="Sales Executive"/>
    <n v="2"/>
    <s v="Divorced"/>
    <x v="334"/>
    <n v="11866"/>
    <n v="1"/>
    <s v="Y"/>
    <s v="Yes"/>
    <n v="14"/>
    <n v="3"/>
    <n v="1"/>
    <n v="80"/>
    <n v="2"/>
    <n v="7"/>
    <n v="2"/>
    <n v="3"/>
    <n v="7"/>
    <n v="7"/>
    <n v="1"/>
    <n v="7"/>
    <x v="2"/>
    <x v="2"/>
  </r>
  <r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x v="2"/>
    <s v="Manufacturing Director"/>
    <n v="2"/>
    <s v="Single"/>
    <x v="335"/>
    <n v="18264"/>
    <n v="0"/>
    <s v="Y"/>
    <s v="No"/>
    <n v="13"/>
    <n v="3"/>
    <n v="4"/>
    <n v="80"/>
    <n v="0"/>
    <n v="17"/>
    <n v="5"/>
    <n v="3"/>
    <n v="16"/>
    <n v="6"/>
    <n v="0"/>
    <n v="13"/>
    <x v="2"/>
    <x v="2"/>
  </r>
  <r>
    <n v="23"/>
    <s v="No"/>
    <s v="Travel_Rarely"/>
    <n v="1309"/>
    <s v="Research &amp; Development"/>
    <n v="26"/>
    <n v="1"/>
    <s v="Life Sciences"/>
    <n v="1"/>
    <n v="465"/>
    <n v="3"/>
    <s v="Male"/>
    <n v="83"/>
    <n v="3"/>
    <x v="1"/>
    <s v="Research Scientist"/>
    <n v="4"/>
    <s v="Divorced"/>
    <x v="336"/>
    <n v="16092"/>
    <n v="1"/>
    <s v="Y"/>
    <s v="No"/>
    <n v="12"/>
    <n v="3"/>
    <n v="3"/>
    <n v="80"/>
    <n v="2"/>
    <n v="4"/>
    <n v="2"/>
    <n v="2"/>
    <n v="4"/>
    <n v="2"/>
    <n v="0"/>
    <n v="2"/>
    <x v="4"/>
    <x v="1"/>
  </r>
  <r>
    <n v="41"/>
    <s v="No"/>
    <s v="Travel_Rarely"/>
    <n v="483"/>
    <s v="Research &amp; Development"/>
    <n v="6"/>
    <n v="3"/>
    <s v="Medical"/>
    <n v="1"/>
    <n v="466"/>
    <n v="4"/>
    <s v="Male"/>
    <n v="95"/>
    <n v="2"/>
    <x v="0"/>
    <s v="Manufacturing Director"/>
    <n v="2"/>
    <s v="Single"/>
    <x v="337"/>
    <n v="10110"/>
    <n v="6"/>
    <s v="Y"/>
    <s v="Yes"/>
    <n v="15"/>
    <n v="3"/>
    <n v="4"/>
    <n v="80"/>
    <n v="0"/>
    <n v="8"/>
    <n v="3"/>
    <n v="3"/>
    <n v="5"/>
    <n v="4"/>
    <n v="1"/>
    <n v="2"/>
    <x v="0"/>
    <x v="0"/>
  </r>
  <r>
    <n v="47"/>
    <s v="No"/>
    <s v="Travel_Frequently"/>
    <n v="1309"/>
    <s v="Sales"/>
    <n v="4"/>
    <n v="1"/>
    <s v="Medical"/>
    <n v="1"/>
    <n v="467"/>
    <n v="2"/>
    <s v="Male"/>
    <n v="99"/>
    <n v="3"/>
    <x v="0"/>
    <s v="Sales Representative"/>
    <n v="3"/>
    <s v="Single"/>
    <x v="338"/>
    <n v="25751"/>
    <n v="3"/>
    <s v="Y"/>
    <s v="No"/>
    <n v="19"/>
    <n v="3"/>
    <n v="1"/>
    <n v="80"/>
    <n v="0"/>
    <n v="5"/>
    <n v="3"/>
    <n v="3"/>
    <n v="0"/>
    <n v="0"/>
    <n v="0"/>
    <n v="0"/>
    <x v="1"/>
    <x v="1"/>
  </r>
  <r>
    <n v="42"/>
    <s v="No"/>
    <s v="Travel_Rarely"/>
    <n v="810"/>
    <s v="Research &amp; Development"/>
    <n v="23"/>
    <n v="5"/>
    <s v="Life Sciences"/>
    <n v="1"/>
    <n v="468"/>
    <n v="1"/>
    <s v="Female"/>
    <n v="44"/>
    <n v="3"/>
    <x v="3"/>
    <s v="Research Director"/>
    <n v="4"/>
    <s v="Single"/>
    <x v="339"/>
    <n v="15901"/>
    <n v="2"/>
    <s v="Y"/>
    <s v="No"/>
    <n v="14"/>
    <n v="3"/>
    <n v="2"/>
    <n v="80"/>
    <n v="0"/>
    <n v="16"/>
    <n v="2"/>
    <n v="3"/>
    <n v="1"/>
    <n v="0"/>
    <n v="0"/>
    <n v="0"/>
    <x v="0"/>
    <x v="3"/>
  </r>
  <r>
    <n v="29"/>
    <s v="No"/>
    <s v="Non-Travel"/>
    <n v="746"/>
    <s v="Sales"/>
    <n v="2"/>
    <n v="3"/>
    <s v="Life Sciences"/>
    <n v="1"/>
    <n v="469"/>
    <n v="4"/>
    <s v="Male"/>
    <n v="61"/>
    <n v="3"/>
    <x v="0"/>
    <s v="Sales Executive"/>
    <n v="3"/>
    <s v="Married"/>
    <x v="340"/>
    <n v="16928"/>
    <n v="1"/>
    <s v="Y"/>
    <s v="No"/>
    <n v="14"/>
    <n v="3"/>
    <n v="1"/>
    <n v="80"/>
    <n v="1"/>
    <n v="4"/>
    <n v="3"/>
    <n v="2"/>
    <n v="4"/>
    <n v="3"/>
    <n v="0"/>
    <n v="2"/>
    <x v="2"/>
    <x v="0"/>
  </r>
  <r>
    <n v="42"/>
    <s v="No"/>
    <s v="Travel_Rarely"/>
    <n v="544"/>
    <s v="Human Resources"/>
    <n v="2"/>
    <n v="1"/>
    <s v="Technical Degree"/>
    <n v="1"/>
    <n v="470"/>
    <n v="3"/>
    <s v="Male"/>
    <n v="52"/>
    <n v="3"/>
    <x v="1"/>
    <s v="Human Resources"/>
    <n v="3"/>
    <s v="Divorced"/>
    <x v="341"/>
    <n v="24017"/>
    <n v="0"/>
    <s v="Y"/>
    <s v="Yes"/>
    <n v="11"/>
    <n v="3"/>
    <n v="3"/>
    <n v="80"/>
    <n v="1"/>
    <n v="4"/>
    <n v="5"/>
    <n v="3"/>
    <n v="3"/>
    <n v="2"/>
    <n v="1"/>
    <n v="0"/>
    <x v="0"/>
    <x v="1"/>
  </r>
  <r>
    <n v="32"/>
    <s v="No"/>
    <s v="Travel_Rarely"/>
    <n v="1062"/>
    <s v="Research &amp; Development"/>
    <n v="2"/>
    <n v="3"/>
    <s v="Medical"/>
    <n v="1"/>
    <n v="471"/>
    <n v="3"/>
    <s v="Female"/>
    <n v="75"/>
    <n v="3"/>
    <x v="1"/>
    <s v="Laboratory Technician"/>
    <n v="2"/>
    <s v="Married"/>
    <x v="342"/>
    <n v="3956"/>
    <n v="1"/>
    <s v="Y"/>
    <s v="No"/>
    <n v="13"/>
    <n v="3"/>
    <n v="3"/>
    <n v="80"/>
    <n v="1"/>
    <n v="8"/>
    <n v="4"/>
    <n v="3"/>
    <n v="8"/>
    <n v="0"/>
    <n v="0"/>
    <n v="7"/>
    <x v="2"/>
    <x v="1"/>
  </r>
  <r>
    <n v="48"/>
    <s v="No"/>
    <s v="Travel_Rarely"/>
    <n v="530"/>
    <s v="Sales"/>
    <n v="29"/>
    <n v="1"/>
    <s v="Medical"/>
    <n v="1"/>
    <n v="473"/>
    <n v="1"/>
    <s v="Female"/>
    <n v="91"/>
    <n v="3"/>
    <x v="2"/>
    <s v="Manager"/>
    <n v="3"/>
    <s v="Married"/>
    <x v="343"/>
    <n v="23978"/>
    <n v="3"/>
    <s v="Y"/>
    <s v="No"/>
    <n v="21"/>
    <n v="4"/>
    <n v="2"/>
    <n v="80"/>
    <n v="1"/>
    <n v="15"/>
    <n v="3"/>
    <n v="1"/>
    <n v="0"/>
    <n v="0"/>
    <n v="0"/>
    <n v="0"/>
    <x v="1"/>
    <x v="3"/>
  </r>
  <r>
    <n v="37"/>
    <s v="No"/>
    <s v="Travel_Rarely"/>
    <n v="1319"/>
    <s v="Research &amp; Development"/>
    <n v="6"/>
    <n v="3"/>
    <s v="Medical"/>
    <n v="1"/>
    <n v="474"/>
    <n v="3"/>
    <s v="Male"/>
    <n v="51"/>
    <n v="4"/>
    <x v="0"/>
    <s v="Research Scientist"/>
    <n v="1"/>
    <s v="Divorced"/>
    <x v="344"/>
    <n v="17001"/>
    <n v="4"/>
    <s v="Y"/>
    <s v="Yes"/>
    <n v="13"/>
    <n v="3"/>
    <n v="1"/>
    <n v="80"/>
    <n v="2"/>
    <n v="13"/>
    <n v="2"/>
    <n v="3"/>
    <n v="7"/>
    <n v="7"/>
    <n v="6"/>
    <n v="7"/>
    <x v="0"/>
    <x v="0"/>
  </r>
  <r>
    <n v="30"/>
    <s v="No"/>
    <s v="Non-Travel"/>
    <n v="641"/>
    <s v="Sales"/>
    <n v="25"/>
    <n v="2"/>
    <s v="Technical Degree"/>
    <n v="1"/>
    <n v="475"/>
    <n v="4"/>
    <s v="Female"/>
    <n v="85"/>
    <n v="3"/>
    <x v="0"/>
    <s v="Sales Executive"/>
    <n v="3"/>
    <s v="Married"/>
    <x v="345"/>
    <n v="6069"/>
    <n v="7"/>
    <s v="Y"/>
    <s v="Yes"/>
    <n v="12"/>
    <n v="3"/>
    <n v="2"/>
    <n v="80"/>
    <n v="1"/>
    <n v="4"/>
    <n v="2"/>
    <n v="4"/>
    <n v="2"/>
    <n v="2"/>
    <n v="2"/>
    <n v="2"/>
    <x v="2"/>
    <x v="0"/>
  </r>
  <r>
    <n v="26"/>
    <s v="No"/>
    <s v="Travel_Rarely"/>
    <n v="933"/>
    <s v="Sales"/>
    <n v="1"/>
    <n v="3"/>
    <s v="Life Sciences"/>
    <n v="1"/>
    <n v="476"/>
    <n v="3"/>
    <s v="Male"/>
    <n v="57"/>
    <n v="3"/>
    <x v="0"/>
    <s v="Sales Executive"/>
    <n v="3"/>
    <s v="Married"/>
    <x v="346"/>
    <n v="20156"/>
    <n v="1"/>
    <s v="Y"/>
    <s v="No"/>
    <n v="17"/>
    <n v="3"/>
    <n v="2"/>
    <n v="80"/>
    <n v="1"/>
    <n v="8"/>
    <n v="3"/>
    <n v="3"/>
    <n v="8"/>
    <n v="7"/>
    <n v="7"/>
    <n v="7"/>
    <x v="2"/>
    <x v="0"/>
  </r>
  <r>
    <n v="42"/>
    <s v="No"/>
    <s v="Travel_Rarely"/>
    <n v="1332"/>
    <s v="Research &amp; Development"/>
    <n v="2"/>
    <n v="4"/>
    <s v="Other"/>
    <n v="1"/>
    <n v="477"/>
    <n v="1"/>
    <s v="Male"/>
    <n v="98"/>
    <n v="2"/>
    <x v="0"/>
    <s v="Healthcare Representative"/>
    <n v="4"/>
    <s v="Single"/>
    <x v="347"/>
    <n v="17078"/>
    <n v="3"/>
    <s v="Y"/>
    <s v="No"/>
    <n v="23"/>
    <n v="4"/>
    <n v="2"/>
    <n v="80"/>
    <n v="0"/>
    <n v="14"/>
    <n v="6"/>
    <n v="3"/>
    <n v="1"/>
    <n v="0"/>
    <n v="0"/>
    <n v="0"/>
    <x v="0"/>
    <x v="0"/>
  </r>
  <r>
    <n v="21"/>
    <s v="Yes"/>
    <s v="Travel_Frequently"/>
    <n v="756"/>
    <s v="Sales"/>
    <n v="1"/>
    <n v="1"/>
    <s v="Technical Degree"/>
    <n v="1"/>
    <n v="478"/>
    <n v="1"/>
    <s v="Female"/>
    <n v="99"/>
    <n v="2"/>
    <x v="1"/>
    <s v="Sales Representative"/>
    <n v="2"/>
    <s v="Single"/>
    <x v="348"/>
    <n v="9150"/>
    <n v="1"/>
    <s v="Y"/>
    <s v="Yes"/>
    <n v="11"/>
    <n v="3"/>
    <n v="3"/>
    <n v="80"/>
    <n v="0"/>
    <n v="3"/>
    <n v="3"/>
    <n v="3"/>
    <n v="3"/>
    <n v="2"/>
    <n v="1"/>
    <n v="2"/>
    <x v="4"/>
    <x v="1"/>
  </r>
  <r>
    <n v="36"/>
    <s v="No"/>
    <s v="Non-Travel"/>
    <n v="845"/>
    <s v="Sales"/>
    <n v="1"/>
    <n v="5"/>
    <s v="Medical"/>
    <n v="1"/>
    <n v="479"/>
    <n v="4"/>
    <s v="Female"/>
    <n v="45"/>
    <n v="3"/>
    <x v="0"/>
    <s v="Sales Executive"/>
    <n v="4"/>
    <s v="Single"/>
    <x v="349"/>
    <n v="15276"/>
    <n v="4"/>
    <s v="Y"/>
    <s v="No"/>
    <n v="15"/>
    <n v="3"/>
    <n v="2"/>
    <n v="80"/>
    <n v="0"/>
    <n v="7"/>
    <n v="6"/>
    <n v="3"/>
    <n v="1"/>
    <n v="0"/>
    <n v="0"/>
    <n v="0"/>
    <x v="0"/>
    <x v="0"/>
  </r>
  <r>
    <n v="36"/>
    <s v="No"/>
    <s v="Travel_Frequently"/>
    <n v="541"/>
    <s v="Sales"/>
    <n v="3"/>
    <n v="4"/>
    <s v="Medical"/>
    <n v="1"/>
    <n v="481"/>
    <n v="1"/>
    <s v="Male"/>
    <n v="48"/>
    <n v="2"/>
    <x v="2"/>
    <s v="Sales Executive"/>
    <n v="4"/>
    <s v="Married"/>
    <x v="350"/>
    <n v="7246"/>
    <n v="4"/>
    <s v="Y"/>
    <s v="No"/>
    <n v="11"/>
    <n v="3"/>
    <n v="1"/>
    <n v="80"/>
    <n v="1"/>
    <n v="16"/>
    <n v="2"/>
    <n v="3"/>
    <n v="13"/>
    <n v="9"/>
    <n v="1"/>
    <n v="12"/>
    <x v="0"/>
    <x v="2"/>
  </r>
  <r>
    <n v="57"/>
    <s v="No"/>
    <s v="Travel_Rarely"/>
    <n v="593"/>
    <s v="Research &amp; Development"/>
    <n v="1"/>
    <n v="4"/>
    <s v="Medical"/>
    <n v="1"/>
    <n v="482"/>
    <n v="4"/>
    <s v="Male"/>
    <n v="88"/>
    <n v="3"/>
    <x v="0"/>
    <s v="Healthcare Representative"/>
    <n v="3"/>
    <s v="Married"/>
    <x v="351"/>
    <n v="2967"/>
    <n v="2"/>
    <s v="Y"/>
    <s v="No"/>
    <n v="11"/>
    <n v="3"/>
    <n v="3"/>
    <n v="80"/>
    <n v="0"/>
    <n v="15"/>
    <n v="2"/>
    <n v="3"/>
    <n v="3"/>
    <n v="2"/>
    <n v="1"/>
    <n v="2"/>
    <x v="3"/>
    <x v="0"/>
  </r>
  <r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x v="1"/>
    <s v="Laboratory Technician"/>
    <n v="3"/>
    <s v="Married"/>
    <x v="352"/>
    <n v="22495"/>
    <n v="3"/>
    <s v="Y"/>
    <s v="Yes"/>
    <n v="13"/>
    <n v="3"/>
    <n v="3"/>
    <n v="80"/>
    <n v="1"/>
    <n v="10"/>
    <n v="3"/>
    <n v="3"/>
    <n v="7"/>
    <n v="7"/>
    <n v="1"/>
    <n v="7"/>
    <x v="0"/>
    <x v="1"/>
  </r>
  <r>
    <n v="21"/>
    <s v="No"/>
    <s v="Non-Travel"/>
    <n v="895"/>
    <s v="Sales"/>
    <n v="9"/>
    <n v="2"/>
    <s v="Medical"/>
    <n v="1"/>
    <n v="484"/>
    <n v="1"/>
    <s v="Male"/>
    <n v="39"/>
    <n v="3"/>
    <x v="1"/>
    <s v="Sales Representative"/>
    <n v="4"/>
    <s v="Single"/>
    <x v="353"/>
    <n v="2851"/>
    <n v="1"/>
    <s v="Y"/>
    <s v="No"/>
    <n v="24"/>
    <n v="4"/>
    <n v="3"/>
    <n v="80"/>
    <n v="0"/>
    <n v="3"/>
    <n v="3"/>
    <n v="2"/>
    <n v="3"/>
    <n v="2"/>
    <n v="2"/>
    <n v="2"/>
    <x v="4"/>
    <x v="1"/>
  </r>
  <r>
    <n v="33"/>
    <s v="Yes"/>
    <s v="Travel_Rarely"/>
    <n v="350"/>
    <s v="Sales"/>
    <n v="5"/>
    <n v="3"/>
    <s v="Marketing"/>
    <n v="1"/>
    <n v="485"/>
    <n v="4"/>
    <s v="Female"/>
    <n v="34"/>
    <n v="3"/>
    <x v="1"/>
    <s v="Sales Representative"/>
    <n v="3"/>
    <s v="Single"/>
    <x v="354"/>
    <n v="9150"/>
    <n v="1"/>
    <s v="Y"/>
    <s v="Yes"/>
    <n v="13"/>
    <n v="3"/>
    <n v="2"/>
    <n v="80"/>
    <n v="0"/>
    <n v="1"/>
    <n v="2"/>
    <n v="3"/>
    <n v="1"/>
    <n v="0"/>
    <n v="0"/>
    <n v="0"/>
    <x v="2"/>
    <x v="1"/>
  </r>
  <r>
    <n v="37"/>
    <s v="No"/>
    <s v="Travel_Rarely"/>
    <n v="921"/>
    <s v="Research &amp; Development"/>
    <n v="10"/>
    <n v="3"/>
    <s v="Medical"/>
    <n v="1"/>
    <n v="486"/>
    <n v="3"/>
    <s v="Female"/>
    <n v="98"/>
    <n v="3"/>
    <x v="1"/>
    <s v="Laboratory Technician"/>
    <n v="1"/>
    <s v="Married"/>
    <x v="138"/>
    <n v="17663"/>
    <n v="6"/>
    <s v="Y"/>
    <s v="No"/>
    <n v="20"/>
    <n v="4"/>
    <n v="2"/>
    <n v="80"/>
    <n v="1"/>
    <n v="17"/>
    <n v="3"/>
    <n v="3"/>
    <n v="5"/>
    <n v="4"/>
    <n v="0"/>
    <n v="3"/>
    <x v="0"/>
    <x v="0"/>
  </r>
  <r>
    <n v="46"/>
    <s v="No"/>
    <s v="Non-Travel"/>
    <n v="1144"/>
    <s v="Research &amp; Development"/>
    <n v="7"/>
    <n v="4"/>
    <s v="Medical"/>
    <n v="1"/>
    <n v="487"/>
    <n v="3"/>
    <s v="Female"/>
    <n v="30"/>
    <n v="3"/>
    <x v="0"/>
    <s v="Manufacturing Director"/>
    <n v="3"/>
    <s v="Married"/>
    <x v="355"/>
    <n v="16044"/>
    <n v="2"/>
    <s v="Y"/>
    <s v="No"/>
    <n v="14"/>
    <n v="3"/>
    <n v="3"/>
    <n v="80"/>
    <n v="0"/>
    <n v="7"/>
    <n v="2"/>
    <n v="4"/>
    <n v="1"/>
    <n v="0"/>
    <n v="0"/>
    <n v="0"/>
    <x v="1"/>
    <x v="0"/>
  </r>
  <r>
    <n v="41"/>
    <s v="Yes"/>
    <s v="Travel_Frequently"/>
    <n v="143"/>
    <s v="Sales"/>
    <n v="4"/>
    <n v="3"/>
    <s v="Marketing"/>
    <n v="1"/>
    <n v="488"/>
    <n v="1"/>
    <s v="Male"/>
    <n v="56"/>
    <n v="3"/>
    <x v="0"/>
    <s v="Sales Executive"/>
    <n v="2"/>
    <s v="Single"/>
    <x v="356"/>
    <n v="9558"/>
    <n v="1"/>
    <s v="Y"/>
    <s v="No"/>
    <n v="18"/>
    <n v="3"/>
    <n v="3"/>
    <n v="80"/>
    <n v="0"/>
    <n v="8"/>
    <n v="5"/>
    <n v="3"/>
    <n v="8"/>
    <n v="7"/>
    <n v="7"/>
    <n v="7"/>
    <x v="0"/>
    <x v="2"/>
  </r>
  <r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x v="2"/>
    <s v="Healthcare Representative"/>
    <n v="4"/>
    <s v="Single"/>
    <x v="357"/>
    <n v="2755"/>
    <n v="6"/>
    <s v="Y"/>
    <s v="No"/>
    <n v="15"/>
    <n v="3"/>
    <n v="4"/>
    <n v="80"/>
    <n v="0"/>
    <n v="20"/>
    <n v="2"/>
    <n v="3"/>
    <n v="4"/>
    <n v="3"/>
    <n v="1"/>
    <n v="3"/>
    <x v="1"/>
    <x v="2"/>
  </r>
  <r>
    <n v="40"/>
    <s v="Yes"/>
    <s v="Travel_Rarely"/>
    <n v="575"/>
    <s v="Sales"/>
    <n v="22"/>
    <n v="2"/>
    <s v="Marketing"/>
    <n v="1"/>
    <n v="492"/>
    <n v="3"/>
    <s v="Male"/>
    <n v="68"/>
    <n v="2"/>
    <x v="0"/>
    <s v="Sales Executive"/>
    <n v="3"/>
    <s v="Married"/>
    <x v="358"/>
    <n v="6110"/>
    <n v="2"/>
    <s v="Y"/>
    <s v="Yes"/>
    <n v="12"/>
    <n v="3"/>
    <n v="1"/>
    <n v="80"/>
    <n v="2"/>
    <n v="8"/>
    <n v="6"/>
    <n v="3"/>
    <n v="6"/>
    <n v="4"/>
    <n v="1"/>
    <n v="0"/>
    <x v="0"/>
    <x v="0"/>
  </r>
  <r>
    <n v="31"/>
    <s v="No"/>
    <s v="Travel_Rarely"/>
    <n v="408"/>
    <s v="Research &amp; Development"/>
    <n v="9"/>
    <n v="4"/>
    <s v="Life Sciences"/>
    <n v="1"/>
    <n v="493"/>
    <n v="3"/>
    <s v="Male"/>
    <n v="42"/>
    <n v="2"/>
    <x v="1"/>
    <s v="Research Scientist"/>
    <n v="2"/>
    <s v="Single"/>
    <x v="210"/>
    <n v="7551"/>
    <n v="0"/>
    <s v="Y"/>
    <s v="Yes"/>
    <n v="16"/>
    <n v="3"/>
    <n v="4"/>
    <n v="80"/>
    <n v="0"/>
    <n v="3"/>
    <n v="5"/>
    <n v="3"/>
    <n v="2"/>
    <n v="2"/>
    <n v="2"/>
    <n v="2"/>
    <x v="2"/>
    <x v="1"/>
  </r>
  <r>
    <n v="21"/>
    <s v="Yes"/>
    <s v="Travel_Rarely"/>
    <n v="156"/>
    <s v="Sales"/>
    <n v="12"/>
    <n v="3"/>
    <s v="Life Sciences"/>
    <n v="1"/>
    <n v="494"/>
    <n v="3"/>
    <s v="Female"/>
    <n v="90"/>
    <n v="4"/>
    <x v="1"/>
    <s v="Sales Representative"/>
    <n v="2"/>
    <s v="Single"/>
    <x v="359"/>
    <n v="25422"/>
    <n v="1"/>
    <s v="Y"/>
    <s v="No"/>
    <n v="15"/>
    <n v="3"/>
    <n v="4"/>
    <n v="80"/>
    <n v="0"/>
    <n v="1"/>
    <n v="0"/>
    <n v="3"/>
    <n v="1"/>
    <n v="0"/>
    <n v="0"/>
    <n v="0"/>
    <x v="4"/>
    <x v="1"/>
  </r>
  <r>
    <n v="29"/>
    <s v="No"/>
    <s v="Travel_Rarely"/>
    <n v="1283"/>
    <s v="Research &amp; Development"/>
    <n v="23"/>
    <n v="3"/>
    <s v="Life Sciences"/>
    <n v="1"/>
    <n v="495"/>
    <n v="4"/>
    <s v="Male"/>
    <n v="54"/>
    <n v="3"/>
    <x v="1"/>
    <s v="Research Scientist"/>
    <n v="4"/>
    <s v="Single"/>
    <x v="360"/>
    <n v="18168"/>
    <n v="9"/>
    <s v="Y"/>
    <s v="No"/>
    <n v="16"/>
    <n v="3"/>
    <n v="4"/>
    <n v="80"/>
    <n v="0"/>
    <n v="6"/>
    <n v="4"/>
    <n v="3"/>
    <n v="3"/>
    <n v="2"/>
    <n v="1"/>
    <n v="2"/>
    <x v="2"/>
    <x v="1"/>
  </r>
  <r>
    <n v="35"/>
    <s v="No"/>
    <s v="Travel_Rarely"/>
    <n v="755"/>
    <s v="Research &amp; Development"/>
    <n v="9"/>
    <n v="4"/>
    <s v="Life Sciences"/>
    <n v="1"/>
    <n v="496"/>
    <n v="3"/>
    <s v="Male"/>
    <n v="97"/>
    <n v="2"/>
    <x v="0"/>
    <s v="Healthcare Representative"/>
    <n v="2"/>
    <s v="Single"/>
    <x v="361"/>
    <n v="19394"/>
    <n v="9"/>
    <s v="Y"/>
    <s v="No"/>
    <n v="19"/>
    <n v="3"/>
    <n v="3"/>
    <n v="80"/>
    <n v="0"/>
    <n v="10"/>
    <n v="5"/>
    <n v="3"/>
    <n v="1"/>
    <n v="1"/>
    <n v="0"/>
    <n v="0"/>
    <x v="2"/>
    <x v="0"/>
  </r>
  <r>
    <n v="27"/>
    <s v="No"/>
    <s v="Travel_Rarely"/>
    <n v="1469"/>
    <s v="Research &amp; Development"/>
    <n v="1"/>
    <n v="2"/>
    <s v="Medical"/>
    <n v="1"/>
    <n v="497"/>
    <n v="4"/>
    <s v="Male"/>
    <n v="82"/>
    <n v="3"/>
    <x v="1"/>
    <s v="Laboratory Technician"/>
    <n v="2"/>
    <s v="Divorced"/>
    <x v="362"/>
    <n v="17881"/>
    <n v="1"/>
    <s v="Y"/>
    <s v="No"/>
    <n v="11"/>
    <n v="3"/>
    <n v="2"/>
    <n v="80"/>
    <n v="1"/>
    <n v="5"/>
    <n v="2"/>
    <n v="3"/>
    <n v="5"/>
    <n v="2"/>
    <n v="0"/>
    <n v="4"/>
    <x v="2"/>
    <x v="0"/>
  </r>
  <r>
    <n v="28"/>
    <s v="No"/>
    <s v="Travel_Rarely"/>
    <n v="304"/>
    <s v="Sales"/>
    <n v="9"/>
    <n v="4"/>
    <s v="Life Sciences"/>
    <n v="1"/>
    <n v="498"/>
    <n v="2"/>
    <s v="Male"/>
    <n v="92"/>
    <n v="3"/>
    <x v="0"/>
    <s v="Sales Executive"/>
    <n v="4"/>
    <s v="Single"/>
    <x v="363"/>
    <n v="20750"/>
    <n v="1"/>
    <s v="Y"/>
    <s v="No"/>
    <n v="16"/>
    <n v="3"/>
    <n v="4"/>
    <n v="80"/>
    <n v="0"/>
    <n v="7"/>
    <n v="1"/>
    <n v="3"/>
    <n v="7"/>
    <n v="5"/>
    <n v="0"/>
    <n v="7"/>
    <x v="2"/>
    <x v="0"/>
  </r>
  <r>
    <n v="49"/>
    <s v="No"/>
    <s v="Travel_Rarely"/>
    <n v="1261"/>
    <s v="Research &amp; Development"/>
    <n v="7"/>
    <n v="3"/>
    <s v="Other"/>
    <n v="1"/>
    <n v="499"/>
    <n v="2"/>
    <s v="Male"/>
    <n v="31"/>
    <n v="2"/>
    <x v="2"/>
    <s v="Healthcare Representative"/>
    <n v="3"/>
    <s v="Single"/>
    <x v="364"/>
    <n v="12066"/>
    <n v="8"/>
    <s v="Y"/>
    <s v="No"/>
    <n v="24"/>
    <n v="4"/>
    <n v="3"/>
    <n v="80"/>
    <n v="0"/>
    <n v="26"/>
    <n v="2"/>
    <n v="3"/>
    <n v="5"/>
    <n v="2"/>
    <n v="0"/>
    <n v="0"/>
    <x v="1"/>
    <x v="2"/>
  </r>
  <r>
    <n v="51"/>
    <s v="No"/>
    <s v="Travel_Rarely"/>
    <n v="1178"/>
    <s v="Sales"/>
    <n v="14"/>
    <n v="2"/>
    <s v="Life Sciences"/>
    <n v="1"/>
    <n v="500"/>
    <n v="3"/>
    <s v="Female"/>
    <n v="87"/>
    <n v="3"/>
    <x v="0"/>
    <s v="Sales Executive"/>
    <n v="4"/>
    <s v="Married"/>
    <x v="365"/>
    <n v="14862"/>
    <n v="4"/>
    <s v="Y"/>
    <s v="No"/>
    <n v="11"/>
    <n v="3"/>
    <n v="3"/>
    <n v="80"/>
    <n v="1"/>
    <n v="18"/>
    <n v="2"/>
    <n v="2"/>
    <n v="7"/>
    <n v="7"/>
    <n v="0"/>
    <n v="7"/>
    <x v="1"/>
    <x v="0"/>
  </r>
  <r>
    <n v="36"/>
    <s v="No"/>
    <s v="Travel_Rarely"/>
    <n v="329"/>
    <s v="Research &amp; Development"/>
    <n v="2"/>
    <n v="3"/>
    <s v="Life Sciences"/>
    <n v="1"/>
    <n v="501"/>
    <n v="4"/>
    <s v="Female"/>
    <n v="96"/>
    <n v="3"/>
    <x v="1"/>
    <s v="Research Scientist"/>
    <n v="3"/>
    <s v="Married"/>
    <x v="366"/>
    <n v="11868"/>
    <n v="4"/>
    <s v="Y"/>
    <s v="No"/>
    <n v="13"/>
    <n v="3"/>
    <n v="2"/>
    <n v="80"/>
    <n v="1"/>
    <n v="6"/>
    <n v="3"/>
    <n v="3"/>
    <n v="2"/>
    <n v="2"/>
    <n v="2"/>
    <n v="2"/>
    <x v="0"/>
    <x v="1"/>
  </r>
  <r>
    <n v="34"/>
    <s v="Yes"/>
    <s v="Non-Travel"/>
    <n v="1362"/>
    <s v="Sales"/>
    <n v="19"/>
    <n v="3"/>
    <s v="Marketing"/>
    <n v="1"/>
    <n v="502"/>
    <n v="1"/>
    <s v="Male"/>
    <n v="67"/>
    <n v="4"/>
    <x v="0"/>
    <s v="Sales Executive"/>
    <n v="4"/>
    <s v="Single"/>
    <x v="367"/>
    <n v="4652"/>
    <n v="8"/>
    <s v="Y"/>
    <s v="Yes"/>
    <n v="13"/>
    <n v="3"/>
    <n v="2"/>
    <n v="80"/>
    <n v="0"/>
    <n v="9"/>
    <n v="3"/>
    <n v="2"/>
    <n v="5"/>
    <n v="2"/>
    <n v="0"/>
    <n v="4"/>
    <x v="2"/>
    <x v="0"/>
  </r>
  <r>
    <n v="55"/>
    <s v="No"/>
    <s v="Travel_Rarely"/>
    <n v="1311"/>
    <s v="Research &amp; Development"/>
    <n v="2"/>
    <n v="3"/>
    <s v="Life Sciences"/>
    <n v="1"/>
    <n v="505"/>
    <n v="3"/>
    <s v="Female"/>
    <n v="97"/>
    <n v="3"/>
    <x v="3"/>
    <s v="Manager"/>
    <n v="4"/>
    <s v="Single"/>
    <x v="368"/>
    <n v="23258"/>
    <n v="2"/>
    <s v="Y"/>
    <s v="Yes"/>
    <n v="13"/>
    <n v="3"/>
    <n v="3"/>
    <n v="80"/>
    <n v="0"/>
    <n v="30"/>
    <n v="2"/>
    <n v="3"/>
    <n v="5"/>
    <n v="4"/>
    <n v="1"/>
    <n v="2"/>
    <x v="1"/>
    <x v="3"/>
  </r>
  <r>
    <n v="24"/>
    <s v="No"/>
    <s v="Travel_Rarely"/>
    <n v="1371"/>
    <s v="Sales"/>
    <n v="10"/>
    <n v="4"/>
    <s v="Marketing"/>
    <n v="1"/>
    <n v="507"/>
    <n v="4"/>
    <s v="Female"/>
    <n v="77"/>
    <n v="3"/>
    <x v="0"/>
    <s v="Sales Executive"/>
    <n v="3"/>
    <s v="Divorced"/>
    <x v="369"/>
    <n v="5915"/>
    <n v="1"/>
    <s v="Y"/>
    <s v="Yes"/>
    <n v="12"/>
    <n v="3"/>
    <n v="4"/>
    <n v="80"/>
    <n v="1"/>
    <n v="5"/>
    <n v="2"/>
    <n v="4"/>
    <n v="5"/>
    <n v="2"/>
    <n v="0"/>
    <n v="3"/>
    <x v="4"/>
    <x v="0"/>
  </r>
  <r>
    <n v="30"/>
    <s v="No"/>
    <s v="Travel_Rarely"/>
    <n v="202"/>
    <s v="Sales"/>
    <n v="2"/>
    <n v="1"/>
    <s v="Technical Degree"/>
    <n v="1"/>
    <n v="508"/>
    <n v="3"/>
    <s v="Male"/>
    <n v="72"/>
    <n v="3"/>
    <x v="1"/>
    <s v="Sales Representative"/>
    <n v="2"/>
    <s v="Married"/>
    <x v="370"/>
    <n v="17434"/>
    <n v="1"/>
    <s v="Y"/>
    <s v="No"/>
    <n v="18"/>
    <n v="3"/>
    <n v="1"/>
    <n v="80"/>
    <n v="1"/>
    <n v="1"/>
    <n v="3"/>
    <n v="3"/>
    <n v="1"/>
    <n v="0"/>
    <n v="0"/>
    <n v="0"/>
    <x v="2"/>
    <x v="1"/>
  </r>
  <r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x v="1"/>
    <s v="Research Scientist"/>
    <n v="1"/>
    <s v="Single"/>
    <x v="371"/>
    <n v="6582"/>
    <n v="0"/>
    <s v="Y"/>
    <s v="No"/>
    <n v="22"/>
    <n v="4"/>
    <n v="3"/>
    <n v="80"/>
    <n v="0"/>
    <n v="7"/>
    <n v="2"/>
    <n v="3"/>
    <n v="6"/>
    <n v="4"/>
    <n v="0"/>
    <n v="4"/>
    <x v="2"/>
    <x v="0"/>
  </r>
  <r>
    <n v="22"/>
    <s v="No"/>
    <s v="Travel_Rarely"/>
    <n v="253"/>
    <s v="Research &amp; Development"/>
    <n v="11"/>
    <n v="3"/>
    <s v="Medical"/>
    <n v="1"/>
    <n v="511"/>
    <n v="1"/>
    <s v="Female"/>
    <n v="43"/>
    <n v="3"/>
    <x v="1"/>
    <s v="Research Scientist"/>
    <n v="2"/>
    <s v="Married"/>
    <x v="372"/>
    <n v="24440"/>
    <n v="1"/>
    <s v="Y"/>
    <s v="No"/>
    <n v="13"/>
    <n v="3"/>
    <n v="4"/>
    <n v="80"/>
    <n v="1"/>
    <n v="2"/>
    <n v="1"/>
    <n v="3"/>
    <n v="2"/>
    <n v="1"/>
    <n v="1"/>
    <n v="2"/>
    <x v="4"/>
    <x v="1"/>
  </r>
  <r>
    <n v="36"/>
    <s v="No"/>
    <s v="Travel_Rarely"/>
    <n v="164"/>
    <s v="Sales"/>
    <n v="2"/>
    <n v="2"/>
    <s v="Medical"/>
    <n v="1"/>
    <n v="513"/>
    <n v="2"/>
    <s v="Male"/>
    <n v="61"/>
    <n v="2"/>
    <x v="2"/>
    <s v="Sales Executive"/>
    <n v="3"/>
    <s v="Married"/>
    <x v="373"/>
    <n v="3809"/>
    <n v="1"/>
    <s v="Y"/>
    <s v="No"/>
    <n v="13"/>
    <n v="3"/>
    <n v="2"/>
    <n v="80"/>
    <n v="2"/>
    <n v="10"/>
    <n v="2"/>
    <n v="3"/>
    <n v="10"/>
    <n v="9"/>
    <n v="9"/>
    <n v="0"/>
    <x v="0"/>
    <x v="2"/>
  </r>
  <r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x v="1"/>
    <s v="Research Scientist"/>
    <n v="4"/>
    <s v="Single"/>
    <x v="374"/>
    <n v="3427"/>
    <n v="9"/>
    <s v="Y"/>
    <s v="Yes"/>
    <n v="23"/>
    <n v="4"/>
    <n v="3"/>
    <n v="80"/>
    <n v="0"/>
    <n v="3"/>
    <n v="4"/>
    <n v="3"/>
    <n v="1"/>
    <n v="0"/>
    <n v="0"/>
    <n v="0"/>
    <x v="2"/>
    <x v="1"/>
  </r>
  <r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x v="1"/>
    <s v="Laboratory Technician"/>
    <n v="1"/>
    <s v="Divorced"/>
    <x v="375"/>
    <n v="26914"/>
    <n v="1"/>
    <s v="Y"/>
    <s v="No"/>
    <n v="12"/>
    <n v="3"/>
    <n v="3"/>
    <n v="80"/>
    <n v="1"/>
    <n v="18"/>
    <n v="2"/>
    <n v="2"/>
    <n v="18"/>
    <n v="7"/>
    <n v="12"/>
    <n v="17"/>
    <x v="0"/>
    <x v="0"/>
  </r>
  <r>
    <n v="40"/>
    <s v="No"/>
    <s v="Travel_Rarely"/>
    <n v="759"/>
    <s v="Sales"/>
    <n v="2"/>
    <n v="2"/>
    <s v="Marketing"/>
    <n v="1"/>
    <n v="516"/>
    <n v="4"/>
    <s v="Female"/>
    <n v="46"/>
    <n v="3"/>
    <x v="0"/>
    <s v="Sales Executive"/>
    <n v="2"/>
    <s v="Divorced"/>
    <x v="376"/>
    <n v="22553"/>
    <n v="7"/>
    <s v="Y"/>
    <s v="No"/>
    <n v="12"/>
    <n v="3"/>
    <n v="3"/>
    <n v="80"/>
    <n v="2"/>
    <n v="8"/>
    <n v="5"/>
    <n v="3"/>
    <n v="5"/>
    <n v="4"/>
    <n v="1"/>
    <n v="3"/>
    <x v="0"/>
    <x v="0"/>
  </r>
  <r>
    <n v="42"/>
    <s v="No"/>
    <s v="Travel_Rarely"/>
    <n v="201"/>
    <s v="Research &amp; Development"/>
    <n v="1"/>
    <n v="4"/>
    <s v="Life Sciences"/>
    <n v="1"/>
    <n v="517"/>
    <n v="2"/>
    <s v="Female"/>
    <n v="95"/>
    <n v="3"/>
    <x v="1"/>
    <s v="Laboratory Technician"/>
    <n v="1"/>
    <s v="Divorced"/>
    <x v="377"/>
    <n v="20490"/>
    <n v="3"/>
    <s v="Y"/>
    <s v="No"/>
    <n v="16"/>
    <n v="3"/>
    <n v="2"/>
    <n v="80"/>
    <n v="1"/>
    <n v="8"/>
    <n v="5"/>
    <n v="3"/>
    <n v="5"/>
    <n v="2"/>
    <n v="1"/>
    <n v="2"/>
    <x v="0"/>
    <x v="1"/>
  </r>
  <r>
    <n v="37"/>
    <s v="No"/>
    <s v="Travel_Rarely"/>
    <n v="1305"/>
    <s v="Research &amp; Development"/>
    <n v="10"/>
    <n v="4"/>
    <s v="Life Sciences"/>
    <n v="1"/>
    <n v="518"/>
    <n v="3"/>
    <s v="Male"/>
    <n v="49"/>
    <n v="3"/>
    <x v="0"/>
    <s v="Manufacturing Director"/>
    <n v="2"/>
    <s v="Single"/>
    <x v="378"/>
    <n v="21123"/>
    <n v="2"/>
    <s v="Y"/>
    <s v="Yes"/>
    <n v="12"/>
    <n v="3"/>
    <n v="4"/>
    <n v="80"/>
    <n v="0"/>
    <n v="18"/>
    <n v="2"/>
    <n v="2"/>
    <n v="1"/>
    <n v="0"/>
    <n v="0"/>
    <n v="1"/>
    <x v="0"/>
    <x v="0"/>
  </r>
  <r>
    <n v="43"/>
    <s v="No"/>
    <s v="Travel_Rarely"/>
    <n v="982"/>
    <s v="Research &amp; Development"/>
    <n v="12"/>
    <n v="3"/>
    <s v="Life Sciences"/>
    <n v="1"/>
    <n v="520"/>
    <n v="1"/>
    <s v="Male"/>
    <n v="59"/>
    <n v="2"/>
    <x v="3"/>
    <s v="Research Director"/>
    <n v="2"/>
    <s v="Divorced"/>
    <x v="379"/>
    <n v="4345"/>
    <n v="1"/>
    <s v="Y"/>
    <s v="No"/>
    <n v="11"/>
    <n v="3"/>
    <n v="3"/>
    <n v="80"/>
    <n v="1"/>
    <n v="25"/>
    <n v="3"/>
    <n v="3"/>
    <n v="25"/>
    <n v="10"/>
    <n v="3"/>
    <n v="9"/>
    <x v="0"/>
    <x v="3"/>
  </r>
  <r>
    <n v="40"/>
    <s v="No"/>
    <s v="Travel_Rarely"/>
    <n v="555"/>
    <s v="Research &amp; Development"/>
    <n v="2"/>
    <n v="3"/>
    <s v="Medical"/>
    <n v="1"/>
    <n v="521"/>
    <n v="2"/>
    <s v="Female"/>
    <n v="78"/>
    <n v="2"/>
    <x v="0"/>
    <s v="Laboratory Technician"/>
    <n v="3"/>
    <s v="Married"/>
    <x v="380"/>
    <n v="13436"/>
    <n v="6"/>
    <s v="Y"/>
    <s v="No"/>
    <n v="22"/>
    <n v="4"/>
    <n v="2"/>
    <n v="80"/>
    <n v="1"/>
    <n v="20"/>
    <n v="3"/>
    <n v="3"/>
    <n v="1"/>
    <n v="0"/>
    <n v="0"/>
    <n v="0"/>
    <x v="0"/>
    <x v="0"/>
  </r>
  <r>
    <n v="54"/>
    <s v="No"/>
    <s v="Travel_Rarely"/>
    <n v="821"/>
    <s v="Research &amp; Development"/>
    <n v="5"/>
    <n v="2"/>
    <s v="Medical"/>
    <n v="1"/>
    <n v="522"/>
    <n v="1"/>
    <s v="Male"/>
    <n v="86"/>
    <n v="3"/>
    <x v="4"/>
    <s v="Research Director"/>
    <n v="1"/>
    <s v="Married"/>
    <x v="381"/>
    <n v="8509"/>
    <n v="4"/>
    <s v="Y"/>
    <s v="No"/>
    <n v="11"/>
    <n v="3"/>
    <n v="3"/>
    <n v="80"/>
    <n v="1"/>
    <n v="24"/>
    <n v="4"/>
    <n v="2"/>
    <n v="4"/>
    <n v="2"/>
    <n v="1"/>
    <n v="2"/>
    <x v="1"/>
    <x v="3"/>
  </r>
  <r>
    <n v="34"/>
    <s v="No"/>
    <s v="Non-Travel"/>
    <n v="1381"/>
    <s v="Sales"/>
    <n v="4"/>
    <n v="4"/>
    <s v="Marketing"/>
    <n v="1"/>
    <n v="523"/>
    <n v="3"/>
    <s v="Female"/>
    <n v="72"/>
    <n v="3"/>
    <x v="0"/>
    <s v="Sales Executive"/>
    <n v="3"/>
    <s v="Married"/>
    <x v="382"/>
    <n v="12740"/>
    <n v="9"/>
    <s v="Y"/>
    <s v="No"/>
    <n v="15"/>
    <n v="3"/>
    <n v="1"/>
    <n v="80"/>
    <n v="1"/>
    <n v="6"/>
    <n v="3"/>
    <n v="3"/>
    <n v="3"/>
    <n v="2"/>
    <n v="1"/>
    <n v="2"/>
    <x v="2"/>
    <x v="0"/>
  </r>
  <r>
    <n v="31"/>
    <s v="No"/>
    <s v="Travel_Rarely"/>
    <n v="480"/>
    <s v="Research &amp; Development"/>
    <n v="7"/>
    <n v="2"/>
    <s v="Medical"/>
    <n v="1"/>
    <n v="524"/>
    <n v="2"/>
    <s v="Female"/>
    <n v="31"/>
    <n v="3"/>
    <x v="0"/>
    <s v="Manufacturing Director"/>
    <n v="1"/>
    <s v="Married"/>
    <x v="383"/>
    <n v="4156"/>
    <n v="1"/>
    <s v="Y"/>
    <s v="No"/>
    <n v="12"/>
    <n v="3"/>
    <n v="2"/>
    <n v="80"/>
    <n v="1"/>
    <n v="13"/>
    <n v="5"/>
    <n v="1"/>
    <n v="13"/>
    <n v="10"/>
    <n v="3"/>
    <n v="12"/>
    <x v="2"/>
    <x v="0"/>
  </r>
  <r>
    <n v="43"/>
    <s v="No"/>
    <s v="Travel_Frequently"/>
    <n v="313"/>
    <s v="Research &amp; Development"/>
    <n v="21"/>
    <n v="3"/>
    <s v="Medical"/>
    <n v="1"/>
    <n v="525"/>
    <n v="4"/>
    <s v="Male"/>
    <n v="61"/>
    <n v="3"/>
    <x v="1"/>
    <s v="Laboratory Technician"/>
    <n v="4"/>
    <s v="Married"/>
    <x v="384"/>
    <n v="15238"/>
    <n v="7"/>
    <s v="Y"/>
    <s v="No"/>
    <n v="20"/>
    <n v="4"/>
    <n v="1"/>
    <n v="80"/>
    <n v="1"/>
    <n v="8"/>
    <n v="1"/>
    <n v="3"/>
    <n v="3"/>
    <n v="2"/>
    <n v="1"/>
    <n v="2"/>
    <x v="0"/>
    <x v="1"/>
  </r>
  <r>
    <n v="43"/>
    <s v="No"/>
    <s v="Travel_Rarely"/>
    <n v="1473"/>
    <s v="Research &amp; Development"/>
    <n v="8"/>
    <n v="4"/>
    <s v="Other"/>
    <n v="1"/>
    <n v="526"/>
    <n v="3"/>
    <s v="Female"/>
    <n v="74"/>
    <n v="3"/>
    <x v="0"/>
    <s v="Healthcare Representative"/>
    <n v="3"/>
    <s v="Divorced"/>
    <x v="385"/>
    <n v="2227"/>
    <n v="4"/>
    <s v="Y"/>
    <s v="Yes"/>
    <n v="14"/>
    <n v="3"/>
    <n v="4"/>
    <n v="80"/>
    <n v="0"/>
    <n v="8"/>
    <n v="3"/>
    <n v="3"/>
    <n v="5"/>
    <n v="2"/>
    <n v="0"/>
    <n v="2"/>
    <x v="0"/>
    <x v="0"/>
  </r>
  <r>
    <n v="25"/>
    <s v="No"/>
    <s v="Travel_Rarely"/>
    <n v="891"/>
    <s v="Sales"/>
    <n v="4"/>
    <n v="2"/>
    <s v="Life Sciences"/>
    <n v="1"/>
    <n v="527"/>
    <n v="2"/>
    <s v="Female"/>
    <n v="99"/>
    <n v="2"/>
    <x v="0"/>
    <s v="Sales Executive"/>
    <n v="4"/>
    <s v="Single"/>
    <x v="386"/>
    <n v="12090"/>
    <n v="1"/>
    <s v="Y"/>
    <s v="Yes"/>
    <n v="11"/>
    <n v="3"/>
    <n v="2"/>
    <n v="80"/>
    <n v="0"/>
    <n v="5"/>
    <n v="3"/>
    <n v="3"/>
    <n v="5"/>
    <n v="4"/>
    <n v="1"/>
    <n v="3"/>
    <x v="4"/>
    <x v="0"/>
  </r>
  <r>
    <n v="37"/>
    <s v="No"/>
    <s v="Non-Travel"/>
    <n v="1063"/>
    <s v="Research &amp; Development"/>
    <n v="25"/>
    <n v="5"/>
    <s v="Medical"/>
    <n v="1"/>
    <n v="529"/>
    <n v="2"/>
    <s v="Female"/>
    <n v="72"/>
    <n v="3"/>
    <x v="0"/>
    <s v="Research Scientist"/>
    <n v="3"/>
    <s v="Married"/>
    <x v="387"/>
    <n v="23866"/>
    <n v="3"/>
    <s v="Y"/>
    <s v="Yes"/>
    <n v="15"/>
    <n v="3"/>
    <n v="1"/>
    <n v="80"/>
    <n v="2"/>
    <n v="15"/>
    <n v="2"/>
    <n v="3"/>
    <n v="13"/>
    <n v="11"/>
    <n v="10"/>
    <n v="7"/>
    <x v="0"/>
    <x v="0"/>
  </r>
  <r>
    <n v="31"/>
    <s v="No"/>
    <s v="Travel_Rarely"/>
    <n v="329"/>
    <s v="Research &amp; Development"/>
    <n v="1"/>
    <n v="2"/>
    <s v="Life Sciences"/>
    <n v="1"/>
    <n v="530"/>
    <n v="4"/>
    <s v="Male"/>
    <n v="98"/>
    <n v="2"/>
    <x v="1"/>
    <s v="Laboratory Technician"/>
    <n v="1"/>
    <s v="Married"/>
    <x v="388"/>
    <n v="16193"/>
    <n v="1"/>
    <s v="Y"/>
    <s v="No"/>
    <n v="12"/>
    <n v="3"/>
    <n v="3"/>
    <n v="80"/>
    <n v="1"/>
    <n v="4"/>
    <n v="3"/>
    <n v="3"/>
    <n v="4"/>
    <n v="2"/>
    <n v="3"/>
    <n v="2"/>
    <x v="2"/>
    <x v="1"/>
  </r>
  <r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x v="4"/>
    <s v="Manager"/>
    <n v="3"/>
    <s v="Divorced"/>
    <x v="389"/>
    <n v="8213"/>
    <n v="1"/>
    <s v="Y"/>
    <s v="Yes"/>
    <n v="14"/>
    <n v="3"/>
    <n v="3"/>
    <n v="80"/>
    <n v="1"/>
    <n v="21"/>
    <n v="3"/>
    <n v="3"/>
    <n v="21"/>
    <n v="8"/>
    <n v="1"/>
    <n v="6"/>
    <x v="0"/>
    <x v="3"/>
  </r>
  <r>
    <n v="56"/>
    <s v="No"/>
    <s v="Travel_Frequently"/>
    <n v="906"/>
    <s v="Sales"/>
    <n v="6"/>
    <n v="3"/>
    <s v="Life Sciences"/>
    <n v="1"/>
    <n v="532"/>
    <n v="3"/>
    <s v="Female"/>
    <n v="86"/>
    <n v="4"/>
    <x v="3"/>
    <s v="Sales Executive"/>
    <n v="1"/>
    <s v="Married"/>
    <x v="390"/>
    <n v="18256"/>
    <n v="9"/>
    <s v="Y"/>
    <s v="No"/>
    <n v="11"/>
    <n v="3"/>
    <n v="4"/>
    <n v="80"/>
    <n v="3"/>
    <n v="36"/>
    <n v="0"/>
    <n v="2"/>
    <n v="7"/>
    <n v="7"/>
    <n v="7"/>
    <n v="7"/>
    <x v="3"/>
    <x v="3"/>
  </r>
  <r>
    <n v="30"/>
    <s v="No"/>
    <s v="Travel_Rarely"/>
    <n v="1082"/>
    <s v="Sales"/>
    <n v="12"/>
    <n v="3"/>
    <s v="Technical Degree"/>
    <n v="1"/>
    <n v="533"/>
    <n v="2"/>
    <s v="Female"/>
    <n v="83"/>
    <n v="3"/>
    <x v="0"/>
    <s v="Sales Executive"/>
    <n v="3"/>
    <s v="Single"/>
    <x v="391"/>
    <n v="19558"/>
    <n v="0"/>
    <s v="Y"/>
    <s v="No"/>
    <n v="11"/>
    <n v="3"/>
    <n v="2"/>
    <n v="80"/>
    <n v="0"/>
    <n v="6"/>
    <n v="6"/>
    <n v="3"/>
    <n v="5"/>
    <n v="4"/>
    <n v="4"/>
    <n v="4"/>
    <x v="2"/>
    <x v="0"/>
  </r>
  <r>
    <n v="41"/>
    <s v="No"/>
    <s v="Travel_Rarely"/>
    <n v="645"/>
    <s v="Sales"/>
    <n v="1"/>
    <n v="3"/>
    <s v="Marketing"/>
    <n v="1"/>
    <n v="534"/>
    <n v="2"/>
    <s v="Male"/>
    <n v="49"/>
    <n v="4"/>
    <x v="2"/>
    <s v="Sales Executive"/>
    <n v="1"/>
    <s v="Married"/>
    <x v="392"/>
    <n v="19566"/>
    <n v="1"/>
    <s v="Y"/>
    <s v="No"/>
    <n v="16"/>
    <n v="3"/>
    <n v="3"/>
    <n v="80"/>
    <n v="1"/>
    <n v="10"/>
    <n v="2"/>
    <n v="3"/>
    <n v="10"/>
    <n v="7"/>
    <n v="0"/>
    <n v="7"/>
    <x v="0"/>
    <x v="2"/>
  </r>
  <r>
    <n v="28"/>
    <s v="No"/>
    <s v="Travel_Rarely"/>
    <n v="1300"/>
    <s v="Research &amp; Development"/>
    <n v="17"/>
    <n v="2"/>
    <s v="Medical"/>
    <n v="1"/>
    <n v="536"/>
    <n v="3"/>
    <s v="Male"/>
    <n v="79"/>
    <n v="3"/>
    <x v="0"/>
    <s v="Laboratory Technician"/>
    <n v="1"/>
    <s v="Divorced"/>
    <x v="393"/>
    <n v="13535"/>
    <n v="1"/>
    <s v="Y"/>
    <s v="No"/>
    <n v="12"/>
    <n v="3"/>
    <n v="4"/>
    <n v="80"/>
    <n v="1"/>
    <n v="10"/>
    <n v="2"/>
    <n v="3"/>
    <n v="10"/>
    <n v="0"/>
    <n v="1"/>
    <n v="8"/>
    <x v="2"/>
    <x v="0"/>
  </r>
  <r>
    <n v="25"/>
    <s v="Yes"/>
    <s v="Travel_Rarely"/>
    <n v="688"/>
    <s v="Research &amp; Development"/>
    <n v="3"/>
    <n v="3"/>
    <s v="Medical"/>
    <n v="1"/>
    <n v="538"/>
    <n v="1"/>
    <s v="Male"/>
    <n v="91"/>
    <n v="3"/>
    <x v="1"/>
    <s v="Laboratory Technician"/>
    <n v="1"/>
    <s v="Married"/>
    <x v="394"/>
    <n v="9396"/>
    <n v="5"/>
    <s v="Y"/>
    <s v="No"/>
    <n v="13"/>
    <n v="3"/>
    <n v="3"/>
    <n v="80"/>
    <n v="1"/>
    <n v="6"/>
    <n v="5"/>
    <n v="3"/>
    <n v="2"/>
    <n v="2"/>
    <n v="0"/>
    <n v="2"/>
    <x v="4"/>
    <x v="0"/>
  </r>
  <r>
    <n v="52"/>
    <s v="No"/>
    <s v="Travel_Rarely"/>
    <n v="319"/>
    <s v="Research &amp; Development"/>
    <n v="3"/>
    <n v="3"/>
    <s v="Medical"/>
    <n v="1"/>
    <n v="543"/>
    <n v="4"/>
    <s v="Male"/>
    <n v="39"/>
    <n v="2"/>
    <x v="2"/>
    <s v="Manufacturing Director"/>
    <n v="3"/>
    <s v="Married"/>
    <x v="395"/>
    <n v="19609"/>
    <n v="2"/>
    <s v="Y"/>
    <s v="Yes"/>
    <n v="14"/>
    <n v="3"/>
    <n v="3"/>
    <n v="80"/>
    <n v="0"/>
    <n v="28"/>
    <n v="4"/>
    <n v="3"/>
    <n v="5"/>
    <n v="4"/>
    <n v="0"/>
    <n v="4"/>
    <x v="1"/>
    <x v="2"/>
  </r>
  <r>
    <n v="45"/>
    <s v="No"/>
    <s v="Travel_Rarely"/>
    <n v="192"/>
    <s v="Research &amp; Development"/>
    <n v="10"/>
    <n v="2"/>
    <s v="Life Sciences"/>
    <n v="1"/>
    <n v="544"/>
    <n v="1"/>
    <s v="Male"/>
    <n v="69"/>
    <n v="3"/>
    <x v="1"/>
    <s v="Research Scientist"/>
    <n v="4"/>
    <s v="Married"/>
    <x v="396"/>
    <n v="9655"/>
    <n v="3"/>
    <s v="Y"/>
    <s v="No"/>
    <n v="21"/>
    <n v="4"/>
    <n v="4"/>
    <n v="80"/>
    <n v="2"/>
    <n v="8"/>
    <n v="3"/>
    <n v="2"/>
    <n v="2"/>
    <n v="2"/>
    <n v="0"/>
    <n v="2"/>
    <x v="0"/>
    <x v="1"/>
  </r>
  <r>
    <n v="52"/>
    <s v="No"/>
    <s v="Travel_Rarely"/>
    <n v="1490"/>
    <s v="Research &amp; Development"/>
    <n v="4"/>
    <n v="2"/>
    <s v="Life Sciences"/>
    <n v="1"/>
    <n v="546"/>
    <n v="4"/>
    <s v="Female"/>
    <n v="30"/>
    <n v="3"/>
    <x v="3"/>
    <s v="Manager"/>
    <n v="4"/>
    <s v="Married"/>
    <x v="397"/>
    <n v="10310"/>
    <n v="2"/>
    <s v="Y"/>
    <s v="No"/>
    <n v="13"/>
    <n v="3"/>
    <n v="4"/>
    <n v="80"/>
    <n v="0"/>
    <n v="31"/>
    <n v="2"/>
    <n v="1"/>
    <n v="5"/>
    <n v="2"/>
    <n v="1"/>
    <n v="4"/>
    <x v="1"/>
    <x v="3"/>
  </r>
  <r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x v="0"/>
    <s v="Research Scientist"/>
    <n v="3"/>
    <s v="Divorced"/>
    <x v="398"/>
    <n v="12932"/>
    <n v="2"/>
    <s v="Y"/>
    <s v="No"/>
    <n v="11"/>
    <n v="3"/>
    <n v="2"/>
    <n v="80"/>
    <n v="1"/>
    <n v="19"/>
    <n v="3"/>
    <n v="3"/>
    <n v="5"/>
    <n v="4"/>
    <n v="0"/>
    <n v="2"/>
    <x v="0"/>
    <x v="0"/>
  </r>
  <r>
    <n v="30"/>
    <s v="No"/>
    <s v="Travel_Rarely"/>
    <n v="317"/>
    <s v="Research &amp; Development"/>
    <n v="2"/>
    <n v="3"/>
    <s v="Life Sciences"/>
    <n v="1"/>
    <n v="548"/>
    <n v="3"/>
    <s v="Female"/>
    <n v="43"/>
    <n v="1"/>
    <x v="0"/>
    <s v="Manufacturing Director"/>
    <n v="4"/>
    <s v="Single"/>
    <x v="399"/>
    <n v="24793"/>
    <n v="2"/>
    <s v="Y"/>
    <s v="No"/>
    <n v="20"/>
    <n v="4"/>
    <n v="3"/>
    <n v="80"/>
    <n v="0"/>
    <n v="11"/>
    <n v="2"/>
    <n v="3"/>
    <n v="5"/>
    <n v="4"/>
    <n v="0"/>
    <n v="2"/>
    <x v="2"/>
    <x v="0"/>
  </r>
  <r>
    <n v="60"/>
    <s v="No"/>
    <s v="Travel_Rarely"/>
    <n v="422"/>
    <s v="Research &amp; Development"/>
    <n v="7"/>
    <n v="3"/>
    <s v="Life Sciences"/>
    <n v="1"/>
    <n v="549"/>
    <n v="1"/>
    <s v="Female"/>
    <n v="41"/>
    <n v="3"/>
    <x v="4"/>
    <s v="Manager"/>
    <n v="1"/>
    <s v="Married"/>
    <x v="400"/>
    <n v="3854"/>
    <n v="5"/>
    <s v="Y"/>
    <s v="No"/>
    <n v="11"/>
    <n v="3"/>
    <n v="4"/>
    <n v="80"/>
    <n v="0"/>
    <n v="33"/>
    <n v="5"/>
    <n v="1"/>
    <n v="29"/>
    <n v="8"/>
    <n v="11"/>
    <n v="10"/>
    <x v="3"/>
    <x v="3"/>
  </r>
  <r>
    <n v="46"/>
    <s v="No"/>
    <s v="Travel_Rarely"/>
    <n v="1485"/>
    <s v="Research &amp; Development"/>
    <n v="18"/>
    <n v="3"/>
    <s v="Medical"/>
    <n v="1"/>
    <n v="550"/>
    <n v="3"/>
    <s v="Female"/>
    <n v="87"/>
    <n v="3"/>
    <x v="0"/>
    <s v="Manufacturing Director"/>
    <n v="3"/>
    <s v="Divorced"/>
    <x v="401"/>
    <n v="26314"/>
    <n v="2"/>
    <s v="Y"/>
    <s v="No"/>
    <n v="14"/>
    <n v="3"/>
    <n v="3"/>
    <n v="80"/>
    <n v="1"/>
    <n v="19"/>
    <n v="5"/>
    <n v="2"/>
    <n v="10"/>
    <n v="7"/>
    <n v="0"/>
    <n v="8"/>
    <x v="1"/>
    <x v="0"/>
  </r>
  <r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x v="0"/>
    <s v="Healthcare Representative"/>
    <n v="4"/>
    <s v="Married"/>
    <x v="402"/>
    <n v="4386"/>
    <n v="0"/>
    <s v="Y"/>
    <s v="No"/>
    <n v="11"/>
    <n v="3"/>
    <n v="4"/>
    <n v="80"/>
    <n v="3"/>
    <n v="7"/>
    <n v="4"/>
    <n v="4"/>
    <n v="6"/>
    <n v="5"/>
    <n v="0"/>
    <n v="4"/>
    <x v="0"/>
    <x v="0"/>
  </r>
  <r>
    <n v="24"/>
    <s v="Yes"/>
    <s v="Travel_Rarely"/>
    <n v="1448"/>
    <s v="Sales"/>
    <n v="1"/>
    <n v="1"/>
    <s v="Technical Degree"/>
    <n v="1"/>
    <n v="554"/>
    <n v="1"/>
    <s v="Female"/>
    <n v="62"/>
    <n v="3"/>
    <x v="1"/>
    <s v="Sales Representative"/>
    <n v="2"/>
    <s v="Single"/>
    <x v="403"/>
    <n v="21972"/>
    <n v="1"/>
    <s v="Y"/>
    <s v="Yes"/>
    <n v="16"/>
    <n v="3"/>
    <n v="2"/>
    <n v="80"/>
    <n v="0"/>
    <n v="6"/>
    <n v="4"/>
    <n v="3"/>
    <n v="5"/>
    <n v="3"/>
    <n v="1"/>
    <n v="4"/>
    <x v="4"/>
    <x v="0"/>
  </r>
  <r>
    <n v="34"/>
    <s v="Yes"/>
    <s v="Travel_Frequently"/>
    <n v="296"/>
    <s v="Sales"/>
    <n v="6"/>
    <n v="2"/>
    <s v="Marketing"/>
    <n v="1"/>
    <n v="555"/>
    <n v="4"/>
    <s v="Female"/>
    <n v="33"/>
    <n v="1"/>
    <x v="1"/>
    <s v="Sales Representative"/>
    <n v="3"/>
    <s v="Divorced"/>
    <x v="404"/>
    <n v="12253"/>
    <n v="0"/>
    <s v="Y"/>
    <s v="No"/>
    <n v="16"/>
    <n v="3"/>
    <n v="4"/>
    <n v="80"/>
    <n v="1"/>
    <n v="3"/>
    <n v="3"/>
    <n v="2"/>
    <n v="2"/>
    <n v="2"/>
    <n v="1"/>
    <n v="0"/>
    <x v="2"/>
    <x v="1"/>
  </r>
  <r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x v="1"/>
    <s v="Laboratory Technician"/>
    <n v="4"/>
    <s v="Married"/>
    <x v="405"/>
    <n v="12106"/>
    <n v="1"/>
    <s v="Y"/>
    <s v="Yes"/>
    <n v="23"/>
    <n v="4"/>
    <n v="3"/>
    <n v="80"/>
    <n v="1"/>
    <n v="1"/>
    <n v="3"/>
    <n v="3"/>
    <n v="1"/>
    <n v="0"/>
    <n v="0"/>
    <n v="0"/>
    <x v="0"/>
    <x v="1"/>
  </r>
  <r>
    <n v="40"/>
    <s v="No"/>
    <s v="Travel_Rarely"/>
    <n v="1398"/>
    <s v="Sales"/>
    <n v="2"/>
    <n v="4"/>
    <s v="Life Sciences"/>
    <n v="1"/>
    <n v="558"/>
    <n v="3"/>
    <s v="Female"/>
    <n v="79"/>
    <n v="3"/>
    <x v="4"/>
    <s v="Manager"/>
    <n v="3"/>
    <s v="Married"/>
    <x v="406"/>
    <n v="13022"/>
    <n v="0"/>
    <s v="Y"/>
    <s v="No"/>
    <n v="14"/>
    <n v="3"/>
    <n v="4"/>
    <n v="80"/>
    <n v="0"/>
    <n v="21"/>
    <n v="2"/>
    <n v="3"/>
    <n v="20"/>
    <n v="15"/>
    <n v="1"/>
    <n v="12"/>
    <x v="0"/>
    <x v="3"/>
  </r>
  <r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x v="1"/>
    <s v="Research Scientist"/>
    <n v="4"/>
    <s v="Divorced"/>
    <x v="407"/>
    <n v="3032"/>
    <n v="1"/>
    <s v="Y"/>
    <s v="No"/>
    <n v="22"/>
    <n v="4"/>
    <n v="2"/>
    <n v="80"/>
    <n v="2"/>
    <n v="3"/>
    <n v="3"/>
    <n v="1"/>
    <n v="3"/>
    <n v="2"/>
    <n v="0"/>
    <n v="2"/>
    <x v="2"/>
    <x v="1"/>
  </r>
  <r>
    <n v="30"/>
    <s v="No"/>
    <s v="Non-Travel"/>
    <n v="1400"/>
    <s v="Research &amp; Development"/>
    <n v="3"/>
    <n v="3"/>
    <s v="Life Sciences"/>
    <n v="1"/>
    <n v="562"/>
    <n v="3"/>
    <s v="Male"/>
    <n v="53"/>
    <n v="3"/>
    <x v="1"/>
    <s v="Laboratory Technician"/>
    <n v="4"/>
    <s v="Married"/>
    <x v="408"/>
    <n v="16734"/>
    <n v="4"/>
    <s v="Y"/>
    <s v="No"/>
    <n v="15"/>
    <n v="3"/>
    <n v="3"/>
    <n v="80"/>
    <n v="1"/>
    <n v="9"/>
    <n v="3"/>
    <n v="1"/>
    <n v="5"/>
    <n v="3"/>
    <n v="1"/>
    <n v="4"/>
    <x v="2"/>
    <x v="1"/>
  </r>
  <r>
    <n v="29"/>
    <s v="No"/>
    <s v="Travel_Rarely"/>
    <n v="986"/>
    <s v="Research &amp; Development"/>
    <n v="3"/>
    <n v="4"/>
    <s v="Medical"/>
    <n v="1"/>
    <n v="564"/>
    <n v="2"/>
    <s v="Male"/>
    <n v="93"/>
    <n v="2"/>
    <x v="2"/>
    <s v="Research Director"/>
    <n v="3"/>
    <s v="Married"/>
    <x v="409"/>
    <n v="21526"/>
    <n v="1"/>
    <s v="Y"/>
    <s v="No"/>
    <n v="18"/>
    <n v="3"/>
    <n v="3"/>
    <n v="80"/>
    <n v="0"/>
    <n v="10"/>
    <n v="2"/>
    <n v="3"/>
    <n v="10"/>
    <n v="2"/>
    <n v="0"/>
    <n v="7"/>
    <x v="2"/>
    <x v="2"/>
  </r>
  <r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x v="1"/>
    <s v="Research Scientist"/>
    <n v="2"/>
    <s v="Married"/>
    <x v="410"/>
    <n v="18300"/>
    <n v="5"/>
    <s v="Y"/>
    <s v="No"/>
    <n v="16"/>
    <n v="3"/>
    <n v="2"/>
    <n v="80"/>
    <n v="0"/>
    <n v="6"/>
    <n v="2"/>
    <n v="4"/>
    <n v="2"/>
    <n v="2"/>
    <n v="1"/>
    <n v="1"/>
    <x v="2"/>
    <x v="1"/>
  </r>
  <r>
    <n v="19"/>
    <s v="Yes"/>
    <s v="Travel_Rarely"/>
    <n v="489"/>
    <s v="Human Resources"/>
    <n v="2"/>
    <n v="2"/>
    <s v="Technical Degree"/>
    <n v="1"/>
    <n v="566"/>
    <n v="1"/>
    <s v="Male"/>
    <n v="52"/>
    <n v="2"/>
    <x v="1"/>
    <s v="Human Resources"/>
    <n v="4"/>
    <s v="Single"/>
    <x v="411"/>
    <n v="18437"/>
    <n v="1"/>
    <s v="Y"/>
    <s v="No"/>
    <n v="12"/>
    <n v="3"/>
    <n v="3"/>
    <n v="80"/>
    <n v="0"/>
    <n v="1"/>
    <n v="3"/>
    <n v="4"/>
    <n v="1"/>
    <n v="0"/>
    <n v="0"/>
    <n v="0"/>
    <x v="4"/>
    <x v="1"/>
  </r>
  <r>
    <n v="30"/>
    <s v="No"/>
    <s v="Non-Travel"/>
    <n v="1398"/>
    <s v="Sales"/>
    <n v="22"/>
    <n v="4"/>
    <s v="Other"/>
    <n v="1"/>
    <n v="567"/>
    <n v="3"/>
    <s v="Female"/>
    <n v="69"/>
    <n v="3"/>
    <x v="2"/>
    <s v="Sales Executive"/>
    <n v="1"/>
    <s v="Married"/>
    <x v="412"/>
    <n v="2890"/>
    <n v="0"/>
    <s v="Y"/>
    <s v="No"/>
    <n v="11"/>
    <n v="3"/>
    <n v="3"/>
    <n v="80"/>
    <n v="0"/>
    <n v="10"/>
    <n v="3"/>
    <n v="3"/>
    <n v="9"/>
    <n v="8"/>
    <n v="7"/>
    <n v="8"/>
    <x v="2"/>
    <x v="2"/>
  </r>
  <r>
    <n v="57"/>
    <s v="No"/>
    <s v="Travel_Rarely"/>
    <n v="210"/>
    <s v="Sales"/>
    <n v="29"/>
    <n v="3"/>
    <s v="Marketing"/>
    <n v="1"/>
    <n v="568"/>
    <n v="1"/>
    <s v="Male"/>
    <n v="56"/>
    <n v="2"/>
    <x v="3"/>
    <s v="Manager"/>
    <n v="4"/>
    <s v="Divorced"/>
    <x v="413"/>
    <n v="22102"/>
    <n v="3"/>
    <s v="Y"/>
    <s v="No"/>
    <n v="12"/>
    <n v="3"/>
    <n v="3"/>
    <n v="80"/>
    <n v="1"/>
    <n v="32"/>
    <n v="3"/>
    <n v="2"/>
    <n v="1"/>
    <n v="0"/>
    <n v="0"/>
    <n v="0"/>
    <x v="3"/>
    <x v="3"/>
  </r>
  <r>
    <n v="50"/>
    <s v="No"/>
    <s v="Travel_Rarely"/>
    <n v="1099"/>
    <s v="Research &amp; Development"/>
    <n v="29"/>
    <n v="4"/>
    <s v="Life Sciences"/>
    <n v="1"/>
    <n v="569"/>
    <n v="2"/>
    <s v="Male"/>
    <n v="88"/>
    <n v="2"/>
    <x v="3"/>
    <s v="Manager"/>
    <n v="3"/>
    <s v="Married"/>
    <x v="414"/>
    <n v="9314"/>
    <n v="0"/>
    <s v="Y"/>
    <s v="No"/>
    <n v="15"/>
    <n v="3"/>
    <n v="2"/>
    <n v="80"/>
    <n v="1"/>
    <n v="28"/>
    <n v="2"/>
    <n v="3"/>
    <n v="27"/>
    <n v="10"/>
    <n v="15"/>
    <n v="7"/>
    <x v="1"/>
    <x v="3"/>
  </r>
  <r>
    <n v="30"/>
    <s v="No"/>
    <s v="Non-Travel"/>
    <n v="1116"/>
    <s v="Research &amp; Development"/>
    <n v="2"/>
    <n v="3"/>
    <s v="Medical"/>
    <n v="1"/>
    <n v="571"/>
    <n v="3"/>
    <s v="Female"/>
    <n v="49"/>
    <n v="3"/>
    <x v="1"/>
    <s v="Laboratory Technician"/>
    <n v="4"/>
    <s v="Single"/>
    <x v="411"/>
    <n v="7181"/>
    <n v="0"/>
    <s v="Y"/>
    <s v="No"/>
    <n v="14"/>
    <n v="3"/>
    <n v="3"/>
    <n v="80"/>
    <n v="0"/>
    <n v="12"/>
    <n v="2"/>
    <n v="2"/>
    <n v="11"/>
    <n v="7"/>
    <n v="6"/>
    <n v="7"/>
    <x v="2"/>
    <x v="1"/>
  </r>
  <r>
    <n v="60"/>
    <s v="No"/>
    <s v="Travel_Frequently"/>
    <n v="1499"/>
    <s v="Sales"/>
    <n v="28"/>
    <n v="3"/>
    <s v="Marketing"/>
    <n v="1"/>
    <n v="573"/>
    <n v="3"/>
    <s v="Female"/>
    <n v="80"/>
    <n v="2"/>
    <x v="2"/>
    <s v="Sales Executive"/>
    <n v="1"/>
    <s v="Married"/>
    <x v="415"/>
    <n v="2845"/>
    <n v="4"/>
    <s v="Y"/>
    <s v="No"/>
    <n v="19"/>
    <n v="3"/>
    <n v="4"/>
    <n v="80"/>
    <n v="0"/>
    <n v="22"/>
    <n v="5"/>
    <n v="4"/>
    <n v="18"/>
    <n v="13"/>
    <n v="13"/>
    <n v="11"/>
    <x v="3"/>
    <x v="2"/>
  </r>
  <r>
    <n v="47"/>
    <s v="No"/>
    <s v="Travel_Rarely"/>
    <n v="983"/>
    <s v="Research &amp; Development"/>
    <n v="2"/>
    <n v="2"/>
    <s v="Medical"/>
    <n v="1"/>
    <n v="574"/>
    <n v="1"/>
    <s v="Female"/>
    <n v="65"/>
    <n v="3"/>
    <x v="0"/>
    <s v="Manufacturing Director"/>
    <n v="4"/>
    <s v="Divorced"/>
    <x v="416"/>
    <n v="7389"/>
    <n v="5"/>
    <s v="Y"/>
    <s v="No"/>
    <n v="13"/>
    <n v="3"/>
    <n v="3"/>
    <n v="80"/>
    <n v="3"/>
    <n v="20"/>
    <n v="2"/>
    <n v="3"/>
    <n v="5"/>
    <n v="0"/>
    <n v="0"/>
    <n v="4"/>
    <x v="1"/>
    <x v="0"/>
  </r>
  <r>
    <n v="46"/>
    <s v="No"/>
    <s v="Travel_Rarely"/>
    <n v="1009"/>
    <s v="Research &amp; Development"/>
    <n v="2"/>
    <n v="3"/>
    <s v="Life Sciences"/>
    <n v="1"/>
    <n v="575"/>
    <n v="1"/>
    <s v="Male"/>
    <n v="51"/>
    <n v="3"/>
    <x v="3"/>
    <s v="Research Director"/>
    <n v="3"/>
    <s v="Married"/>
    <x v="417"/>
    <n v="2288"/>
    <n v="6"/>
    <s v="Y"/>
    <s v="No"/>
    <n v="13"/>
    <n v="3"/>
    <n v="3"/>
    <n v="80"/>
    <n v="0"/>
    <n v="26"/>
    <n v="2"/>
    <n v="1"/>
    <n v="3"/>
    <n v="2"/>
    <n v="0"/>
    <n v="1"/>
    <x v="1"/>
    <x v="3"/>
  </r>
  <r>
    <n v="35"/>
    <s v="No"/>
    <s v="Travel_Rarely"/>
    <n v="144"/>
    <s v="Research &amp; Development"/>
    <n v="22"/>
    <n v="3"/>
    <s v="Life Sciences"/>
    <n v="1"/>
    <n v="577"/>
    <n v="4"/>
    <s v="Male"/>
    <n v="46"/>
    <n v="1"/>
    <x v="1"/>
    <s v="Laboratory Technician"/>
    <n v="3"/>
    <s v="Single"/>
    <x v="418"/>
    <n v="19225"/>
    <n v="0"/>
    <s v="Y"/>
    <s v="No"/>
    <n v="15"/>
    <n v="3"/>
    <n v="3"/>
    <n v="80"/>
    <n v="0"/>
    <n v="6"/>
    <n v="2"/>
    <n v="3"/>
    <n v="5"/>
    <n v="4"/>
    <n v="4"/>
    <n v="3"/>
    <x v="2"/>
    <x v="0"/>
  </r>
  <r>
    <n v="54"/>
    <s v="No"/>
    <s v="Travel_Rarely"/>
    <n v="548"/>
    <s v="Research &amp; Development"/>
    <n v="8"/>
    <n v="4"/>
    <s v="Life Sciences"/>
    <n v="1"/>
    <n v="578"/>
    <n v="3"/>
    <s v="Female"/>
    <n v="42"/>
    <n v="3"/>
    <x v="0"/>
    <s v="Laboratory Technician"/>
    <n v="3"/>
    <s v="Single"/>
    <x v="419"/>
    <n v="23428"/>
    <n v="7"/>
    <s v="Y"/>
    <s v="No"/>
    <n v="11"/>
    <n v="3"/>
    <n v="3"/>
    <n v="80"/>
    <n v="0"/>
    <n v="19"/>
    <n v="3"/>
    <n v="3"/>
    <n v="1"/>
    <n v="0"/>
    <n v="0"/>
    <n v="0"/>
    <x v="1"/>
    <x v="0"/>
  </r>
  <r>
    <n v="34"/>
    <s v="No"/>
    <s v="Travel_Rarely"/>
    <n v="1303"/>
    <s v="Research &amp; Development"/>
    <n v="2"/>
    <n v="4"/>
    <s v="Life Sciences"/>
    <n v="1"/>
    <n v="579"/>
    <n v="4"/>
    <s v="Male"/>
    <n v="62"/>
    <n v="2"/>
    <x v="1"/>
    <s v="Research Scientist"/>
    <n v="3"/>
    <s v="Divorced"/>
    <x v="420"/>
    <n v="8416"/>
    <n v="3"/>
    <s v="Y"/>
    <s v="No"/>
    <n v="12"/>
    <n v="3"/>
    <n v="3"/>
    <n v="80"/>
    <n v="1"/>
    <n v="14"/>
    <n v="3"/>
    <n v="3"/>
    <n v="7"/>
    <n v="3"/>
    <n v="5"/>
    <n v="7"/>
    <x v="2"/>
    <x v="1"/>
  </r>
  <r>
    <n v="46"/>
    <s v="No"/>
    <s v="Travel_Rarely"/>
    <n v="1125"/>
    <s v="Sales"/>
    <n v="10"/>
    <n v="3"/>
    <s v="Marketing"/>
    <n v="1"/>
    <n v="580"/>
    <n v="3"/>
    <s v="Female"/>
    <n v="94"/>
    <n v="2"/>
    <x v="2"/>
    <s v="Sales Executive"/>
    <n v="4"/>
    <s v="Married"/>
    <x v="421"/>
    <n v="11563"/>
    <n v="2"/>
    <s v="Y"/>
    <s v="Yes"/>
    <n v="19"/>
    <n v="3"/>
    <n v="3"/>
    <n v="80"/>
    <n v="1"/>
    <n v="15"/>
    <n v="3"/>
    <n v="3"/>
    <n v="3"/>
    <n v="2"/>
    <n v="1"/>
    <n v="2"/>
    <x v="1"/>
    <x v="2"/>
  </r>
  <r>
    <n v="31"/>
    <s v="No"/>
    <s v="Travel_Rarely"/>
    <n v="1274"/>
    <s v="Research &amp; Development"/>
    <n v="9"/>
    <n v="1"/>
    <s v="Life Sciences"/>
    <n v="1"/>
    <n v="581"/>
    <n v="3"/>
    <s v="Male"/>
    <n v="33"/>
    <n v="3"/>
    <x v="2"/>
    <s v="Manufacturing Director"/>
    <n v="2"/>
    <s v="Divorced"/>
    <x v="422"/>
    <n v="14394"/>
    <n v="1"/>
    <s v="Y"/>
    <s v="No"/>
    <n v="25"/>
    <n v="4"/>
    <n v="4"/>
    <n v="80"/>
    <n v="1"/>
    <n v="13"/>
    <n v="6"/>
    <n v="4"/>
    <n v="13"/>
    <n v="8"/>
    <n v="0"/>
    <n v="8"/>
    <x v="2"/>
    <x v="2"/>
  </r>
  <r>
    <n v="33"/>
    <s v="Yes"/>
    <s v="Travel_Rarely"/>
    <n v="1277"/>
    <s v="Research &amp; Development"/>
    <n v="15"/>
    <n v="1"/>
    <s v="Medical"/>
    <n v="1"/>
    <n v="582"/>
    <n v="2"/>
    <s v="Male"/>
    <n v="56"/>
    <n v="3"/>
    <x v="2"/>
    <s v="Manager"/>
    <n v="3"/>
    <s v="Married"/>
    <x v="423"/>
    <n v="24619"/>
    <n v="7"/>
    <s v="Y"/>
    <s v="Yes"/>
    <n v="12"/>
    <n v="3"/>
    <n v="4"/>
    <n v="80"/>
    <n v="0"/>
    <n v="15"/>
    <n v="2"/>
    <n v="4"/>
    <n v="7"/>
    <n v="6"/>
    <n v="7"/>
    <n v="7"/>
    <x v="2"/>
    <x v="3"/>
  </r>
  <r>
    <n v="33"/>
    <s v="Yes"/>
    <s v="Travel_Rarely"/>
    <n v="587"/>
    <s v="Research &amp; Development"/>
    <n v="10"/>
    <n v="1"/>
    <s v="Medical"/>
    <n v="1"/>
    <n v="584"/>
    <n v="1"/>
    <s v="Male"/>
    <n v="38"/>
    <n v="1"/>
    <x v="1"/>
    <s v="Laboratory Technician"/>
    <n v="4"/>
    <s v="Divorced"/>
    <x v="424"/>
    <n v="6705"/>
    <n v="7"/>
    <s v="Y"/>
    <s v="No"/>
    <n v="13"/>
    <n v="3"/>
    <n v="1"/>
    <n v="80"/>
    <n v="3"/>
    <n v="8"/>
    <n v="2"/>
    <n v="3"/>
    <n v="4"/>
    <n v="3"/>
    <n v="1"/>
    <n v="3"/>
    <x v="2"/>
    <x v="0"/>
  </r>
  <r>
    <n v="30"/>
    <s v="No"/>
    <s v="Travel_Rarely"/>
    <n v="413"/>
    <s v="Sales"/>
    <n v="7"/>
    <n v="1"/>
    <s v="Marketing"/>
    <n v="1"/>
    <n v="585"/>
    <n v="4"/>
    <s v="Male"/>
    <n v="57"/>
    <n v="3"/>
    <x v="1"/>
    <s v="Sales Representative"/>
    <n v="2"/>
    <s v="Single"/>
    <x v="425"/>
    <n v="18398"/>
    <n v="0"/>
    <s v="Y"/>
    <s v="No"/>
    <n v="14"/>
    <n v="3"/>
    <n v="1"/>
    <n v="80"/>
    <n v="0"/>
    <n v="4"/>
    <n v="3"/>
    <n v="3"/>
    <n v="3"/>
    <n v="2"/>
    <n v="1"/>
    <n v="2"/>
    <x v="2"/>
    <x v="1"/>
  </r>
  <r>
    <n v="35"/>
    <s v="No"/>
    <s v="Travel_Rarely"/>
    <n v="1276"/>
    <s v="Research &amp; Development"/>
    <n v="16"/>
    <n v="3"/>
    <s v="Life Sciences"/>
    <n v="1"/>
    <n v="586"/>
    <n v="4"/>
    <s v="Male"/>
    <n v="72"/>
    <n v="3"/>
    <x v="2"/>
    <s v="Healthcare Representative"/>
    <n v="3"/>
    <s v="Married"/>
    <x v="426"/>
    <n v="14295"/>
    <n v="4"/>
    <s v="Y"/>
    <s v="Yes"/>
    <n v="12"/>
    <n v="3"/>
    <n v="3"/>
    <n v="80"/>
    <n v="0"/>
    <n v="10"/>
    <n v="2"/>
    <n v="3"/>
    <n v="8"/>
    <n v="7"/>
    <n v="0"/>
    <n v="0"/>
    <x v="2"/>
    <x v="2"/>
  </r>
  <r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x v="2"/>
    <s v="Healthcare Representative"/>
    <n v="3"/>
    <s v="Married"/>
    <x v="427"/>
    <n v="22908"/>
    <n v="3"/>
    <s v="Y"/>
    <s v="No"/>
    <n v="12"/>
    <n v="3"/>
    <n v="1"/>
    <n v="80"/>
    <n v="0"/>
    <n v="12"/>
    <n v="2"/>
    <n v="3"/>
    <n v="1"/>
    <n v="0"/>
    <n v="0"/>
    <n v="0"/>
    <x v="2"/>
    <x v="2"/>
  </r>
  <r>
    <n v="34"/>
    <s v="Yes"/>
    <s v="Travel_Frequently"/>
    <n v="988"/>
    <s v="Human Resources"/>
    <n v="23"/>
    <n v="3"/>
    <s v="Human Resources"/>
    <n v="1"/>
    <n v="590"/>
    <n v="2"/>
    <s v="Female"/>
    <n v="43"/>
    <n v="3"/>
    <x v="2"/>
    <s v="Human Resources"/>
    <n v="1"/>
    <s v="Divorced"/>
    <x v="428"/>
    <n v="11533"/>
    <n v="9"/>
    <s v="Y"/>
    <s v="Yes"/>
    <n v="15"/>
    <n v="3"/>
    <n v="3"/>
    <n v="80"/>
    <n v="3"/>
    <n v="11"/>
    <n v="2"/>
    <n v="3"/>
    <n v="3"/>
    <n v="2"/>
    <n v="0"/>
    <n v="2"/>
    <x v="2"/>
    <x v="2"/>
  </r>
  <r>
    <n v="42"/>
    <s v="No"/>
    <s v="Travel_Frequently"/>
    <n v="1474"/>
    <s v="Research &amp; Development"/>
    <n v="5"/>
    <n v="2"/>
    <s v="Other"/>
    <n v="1"/>
    <n v="591"/>
    <n v="2"/>
    <s v="Male"/>
    <n v="97"/>
    <n v="3"/>
    <x v="1"/>
    <s v="Laboratory Technician"/>
    <n v="3"/>
    <s v="Married"/>
    <x v="429"/>
    <n v="9260"/>
    <n v="4"/>
    <s v="Y"/>
    <s v="No"/>
    <n v="17"/>
    <n v="3"/>
    <n v="4"/>
    <n v="80"/>
    <n v="1"/>
    <n v="8"/>
    <n v="4"/>
    <n v="3"/>
    <n v="2"/>
    <n v="2"/>
    <n v="2"/>
    <n v="0"/>
    <x v="0"/>
    <x v="1"/>
  </r>
  <r>
    <n v="36"/>
    <s v="No"/>
    <s v="Non-Travel"/>
    <n v="635"/>
    <s v="Sales"/>
    <n v="10"/>
    <n v="4"/>
    <s v="Medical"/>
    <n v="1"/>
    <n v="592"/>
    <n v="2"/>
    <s v="Male"/>
    <n v="32"/>
    <n v="3"/>
    <x v="2"/>
    <s v="Sales Executive"/>
    <n v="4"/>
    <s v="Single"/>
    <x v="15"/>
    <n v="15318"/>
    <n v="1"/>
    <s v="Y"/>
    <s v="No"/>
    <n v="14"/>
    <n v="3"/>
    <n v="4"/>
    <n v="80"/>
    <n v="0"/>
    <n v="10"/>
    <n v="3"/>
    <n v="2"/>
    <n v="10"/>
    <n v="3"/>
    <n v="9"/>
    <n v="7"/>
    <x v="0"/>
    <x v="2"/>
  </r>
  <r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x v="1"/>
    <s v="Laboratory Technician"/>
    <n v="3"/>
    <s v="Single"/>
    <x v="430"/>
    <n v="9129"/>
    <n v="5"/>
    <s v="Y"/>
    <s v="No"/>
    <n v="16"/>
    <n v="3"/>
    <n v="3"/>
    <n v="80"/>
    <n v="0"/>
    <n v="4"/>
    <n v="3"/>
    <n v="3"/>
    <n v="2"/>
    <n v="2"/>
    <n v="1"/>
    <n v="2"/>
    <x v="4"/>
    <x v="0"/>
  </r>
  <r>
    <n v="48"/>
    <s v="No"/>
    <s v="Travel_Rarely"/>
    <n v="163"/>
    <s v="Sales"/>
    <n v="2"/>
    <n v="5"/>
    <s v="Marketing"/>
    <n v="1"/>
    <n v="595"/>
    <n v="2"/>
    <s v="Female"/>
    <n v="37"/>
    <n v="3"/>
    <x v="0"/>
    <s v="Sales Executive"/>
    <n v="4"/>
    <s v="Married"/>
    <x v="431"/>
    <n v="19658"/>
    <n v="2"/>
    <s v="Y"/>
    <s v="No"/>
    <n v="14"/>
    <n v="3"/>
    <n v="1"/>
    <n v="80"/>
    <n v="1"/>
    <n v="14"/>
    <n v="2"/>
    <n v="3"/>
    <n v="9"/>
    <n v="7"/>
    <n v="6"/>
    <n v="7"/>
    <x v="1"/>
    <x v="0"/>
  </r>
  <r>
    <n v="55"/>
    <s v="No"/>
    <s v="Travel_Rarely"/>
    <n v="1117"/>
    <s v="Sales"/>
    <n v="18"/>
    <n v="5"/>
    <s v="Life Sciences"/>
    <n v="1"/>
    <n v="597"/>
    <n v="1"/>
    <s v="Female"/>
    <n v="83"/>
    <n v="3"/>
    <x v="3"/>
    <s v="Manager"/>
    <n v="2"/>
    <s v="Single"/>
    <x v="432"/>
    <n v="9873"/>
    <n v="3"/>
    <s v="Y"/>
    <s v="No"/>
    <n v="23"/>
    <n v="4"/>
    <n v="4"/>
    <n v="80"/>
    <n v="0"/>
    <n v="37"/>
    <n v="2"/>
    <n v="3"/>
    <n v="10"/>
    <n v="9"/>
    <n v="7"/>
    <n v="7"/>
    <x v="1"/>
    <x v="3"/>
  </r>
  <r>
    <n v="41"/>
    <s v="No"/>
    <s v="Non-Travel"/>
    <n v="267"/>
    <s v="Sales"/>
    <n v="10"/>
    <n v="2"/>
    <s v="Life Sciences"/>
    <n v="1"/>
    <n v="599"/>
    <n v="4"/>
    <s v="Male"/>
    <n v="56"/>
    <n v="3"/>
    <x v="0"/>
    <s v="Sales Executive"/>
    <n v="4"/>
    <s v="Single"/>
    <x v="433"/>
    <n v="13430"/>
    <n v="7"/>
    <s v="Y"/>
    <s v="No"/>
    <n v="14"/>
    <n v="3"/>
    <n v="4"/>
    <n v="80"/>
    <n v="0"/>
    <n v="16"/>
    <n v="3"/>
    <n v="3"/>
    <n v="14"/>
    <n v="3"/>
    <n v="1"/>
    <n v="10"/>
    <x v="0"/>
    <x v="0"/>
  </r>
  <r>
    <n v="35"/>
    <s v="No"/>
    <s v="Travel_Rarely"/>
    <n v="619"/>
    <s v="Sales"/>
    <n v="1"/>
    <n v="3"/>
    <s v="Marketing"/>
    <n v="1"/>
    <n v="600"/>
    <n v="2"/>
    <s v="Male"/>
    <n v="85"/>
    <n v="3"/>
    <x v="0"/>
    <s v="Sales Executive"/>
    <n v="3"/>
    <s v="Married"/>
    <x v="434"/>
    <n v="18659"/>
    <n v="9"/>
    <s v="Y"/>
    <s v="No"/>
    <n v="11"/>
    <n v="3"/>
    <n v="3"/>
    <n v="80"/>
    <n v="0"/>
    <n v="15"/>
    <n v="2"/>
    <n v="3"/>
    <n v="11"/>
    <n v="9"/>
    <n v="6"/>
    <n v="9"/>
    <x v="2"/>
    <x v="0"/>
  </r>
  <r>
    <n v="40"/>
    <s v="No"/>
    <s v="Travel_Rarely"/>
    <n v="302"/>
    <s v="Research &amp; Development"/>
    <n v="6"/>
    <n v="3"/>
    <s v="Life Sciences"/>
    <n v="1"/>
    <n v="601"/>
    <n v="2"/>
    <s v="Female"/>
    <n v="75"/>
    <n v="3"/>
    <x v="3"/>
    <s v="Manufacturing Director"/>
    <n v="3"/>
    <s v="Single"/>
    <x v="435"/>
    <n v="20364"/>
    <n v="7"/>
    <s v="Y"/>
    <s v="No"/>
    <n v="15"/>
    <n v="3"/>
    <n v="3"/>
    <n v="80"/>
    <n v="0"/>
    <n v="22"/>
    <n v="3"/>
    <n v="3"/>
    <n v="20"/>
    <n v="6"/>
    <n v="5"/>
    <n v="13"/>
    <x v="0"/>
    <x v="3"/>
  </r>
  <r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x v="1"/>
    <s v="Laboratory Technician"/>
    <n v="3"/>
    <s v="Married"/>
    <x v="436"/>
    <n v="17872"/>
    <n v="1"/>
    <s v="Y"/>
    <s v="No"/>
    <n v="11"/>
    <n v="3"/>
    <n v="1"/>
    <n v="80"/>
    <n v="1"/>
    <n v="8"/>
    <n v="3"/>
    <n v="3"/>
    <n v="8"/>
    <n v="3"/>
    <n v="0"/>
    <n v="7"/>
    <x v="0"/>
    <x v="0"/>
  </r>
  <r>
    <n v="31"/>
    <s v="No"/>
    <s v="Travel_Rarely"/>
    <n v="828"/>
    <s v="Sales"/>
    <n v="2"/>
    <n v="1"/>
    <s v="Life Sciences"/>
    <n v="1"/>
    <n v="604"/>
    <n v="2"/>
    <s v="Male"/>
    <n v="77"/>
    <n v="3"/>
    <x v="0"/>
    <s v="Sales Executive"/>
    <n v="4"/>
    <s v="Single"/>
    <x v="437"/>
    <n v="8346"/>
    <n v="4"/>
    <s v="Y"/>
    <s v="Yes"/>
    <n v="13"/>
    <n v="3"/>
    <n v="3"/>
    <n v="80"/>
    <n v="0"/>
    <n v="10"/>
    <n v="2"/>
    <n v="4"/>
    <n v="6"/>
    <n v="5"/>
    <n v="0"/>
    <n v="5"/>
    <x v="2"/>
    <x v="0"/>
  </r>
  <r>
    <n v="42"/>
    <s v="No"/>
    <s v="Travel_Rarely"/>
    <n v="319"/>
    <s v="Research &amp; Development"/>
    <n v="24"/>
    <n v="3"/>
    <s v="Medical"/>
    <n v="1"/>
    <n v="605"/>
    <n v="4"/>
    <s v="Male"/>
    <n v="56"/>
    <n v="3"/>
    <x v="2"/>
    <s v="Manufacturing Director"/>
    <n v="1"/>
    <s v="Married"/>
    <x v="438"/>
    <n v="6950"/>
    <n v="1"/>
    <s v="Y"/>
    <s v="Yes"/>
    <n v="21"/>
    <n v="4"/>
    <n v="4"/>
    <n v="80"/>
    <n v="1"/>
    <n v="10"/>
    <n v="5"/>
    <n v="2"/>
    <n v="10"/>
    <n v="9"/>
    <n v="5"/>
    <n v="8"/>
    <x v="0"/>
    <x v="2"/>
  </r>
  <r>
    <n v="45"/>
    <s v="No"/>
    <s v="Travel_Rarely"/>
    <n v="561"/>
    <s v="Sales"/>
    <n v="2"/>
    <n v="3"/>
    <s v="Other"/>
    <n v="1"/>
    <n v="606"/>
    <n v="4"/>
    <s v="Male"/>
    <n v="61"/>
    <n v="3"/>
    <x v="0"/>
    <s v="Sales Executive"/>
    <n v="2"/>
    <s v="Married"/>
    <x v="439"/>
    <n v="16177"/>
    <n v="0"/>
    <s v="Y"/>
    <s v="No"/>
    <n v="19"/>
    <n v="3"/>
    <n v="2"/>
    <n v="80"/>
    <n v="1"/>
    <n v="9"/>
    <n v="3"/>
    <n v="4"/>
    <n v="8"/>
    <n v="7"/>
    <n v="3"/>
    <n v="7"/>
    <x v="0"/>
    <x v="0"/>
  </r>
  <r>
    <n v="26"/>
    <s v="Yes"/>
    <s v="Travel_Frequently"/>
    <n v="426"/>
    <s v="Human Resources"/>
    <n v="17"/>
    <n v="4"/>
    <s v="Life Sciences"/>
    <n v="1"/>
    <n v="608"/>
    <n v="2"/>
    <s v="Female"/>
    <n v="58"/>
    <n v="3"/>
    <x v="1"/>
    <s v="Human Resources"/>
    <n v="3"/>
    <s v="Divorced"/>
    <x v="199"/>
    <n v="22808"/>
    <n v="0"/>
    <s v="Y"/>
    <s v="Yes"/>
    <n v="11"/>
    <n v="3"/>
    <n v="2"/>
    <n v="80"/>
    <n v="1"/>
    <n v="8"/>
    <n v="2"/>
    <n v="2"/>
    <n v="7"/>
    <n v="7"/>
    <n v="1"/>
    <n v="0"/>
    <x v="2"/>
    <x v="1"/>
  </r>
  <r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x v="0"/>
    <s v="Manufacturing Director"/>
    <n v="4"/>
    <s v="Divorced"/>
    <x v="440"/>
    <n v="22645"/>
    <n v="4"/>
    <s v="Y"/>
    <s v="No"/>
    <n v="12"/>
    <n v="3"/>
    <n v="2"/>
    <n v="80"/>
    <n v="2"/>
    <n v="8"/>
    <n v="2"/>
    <n v="4"/>
    <n v="3"/>
    <n v="2"/>
    <n v="1"/>
    <n v="2"/>
    <x v="2"/>
    <x v="0"/>
  </r>
  <r>
    <n v="33"/>
    <s v="No"/>
    <s v="Travel_Rarely"/>
    <n v="922"/>
    <s v="Research &amp; Development"/>
    <n v="1"/>
    <n v="5"/>
    <s v="Medical"/>
    <n v="1"/>
    <n v="612"/>
    <n v="1"/>
    <s v="Female"/>
    <n v="95"/>
    <n v="4"/>
    <x v="3"/>
    <s v="Research Director"/>
    <n v="3"/>
    <s v="Divorced"/>
    <x v="441"/>
    <n v="22578"/>
    <n v="4"/>
    <s v="Y"/>
    <s v="No"/>
    <n v="19"/>
    <n v="3"/>
    <n v="3"/>
    <n v="80"/>
    <n v="1"/>
    <n v="10"/>
    <n v="2"/>
    <n v="3"/>
    <n v="6"/>
    <n v="1"/>
    <n v="0"/>
    <n v="5"/>
    <x v="2"/>
    <x v="3"/>
  </r>
  <r>
    <n v="31"/>
    <s v="No"/>
    <s v="Travel_Rarely"/>
    <n v="688"/>
    <s v="Sales"/>
    <n v="7"/>
    <n v="3"/>
    <s v="Life Sciences"/>
    <n v="1"/>
    <n v="613"/>
    <n v="3"/>
    <s v="Male"/>
    <n v="44"/>
    <n v="2"/>
    <x v="2"/>
    <s v="Manager"/>
    <n v="4"/>
    <s v="Divorced"/>
    <x v="442"/>
    <n v="25291"/>
    <n v="9"/>
    <s v="Y"/>
    <s v="No"/>
    <n v="21"/>
    <n v="4"/>
    <n v="3"/>
    <n v="80"/>
    <n v="1"/>
    <n v="10"/>
    <n v="3"/>
    <n v="2"/>
    <n v="5"/>
    <n v="4"/>
    <n v="0"/>
    <n v="1"/>
    <x v="2"/>
    <x v="2"/>
  </r>
  <r>
    <n v="18"/>
    <s v="Yes"/>
    <s v="Travel_Frequently"/>
    <n v="1306"/>
    <s v="Sales"/>
    <n v="5"/>
    <n v="3"/>
    <s v="Marketing"/>
    <n v="1"/>
    <n v="614"/>
    <n v="2"/>
    <s v="Male"/>
    <n v="69"/>
    <n v="3"/>
    <x v="1"/>
    <s v="Sales Representative"/>
    <n v="2"/>
    <s v="Single"/>
    <x v="443"/>
    <n v="8059"/>
    <n v="1"/>
    <s v="Y"/>
    <s v="Yes"/>
    <n v="14"/>
    <n v="3"/>
    <n v="4"/>
    <n v="80"/>
    <n v="0"/>
    <n v="0"/>
    <n v="3"/>
    <n v="3"/>
    <n v="0"/>
    <n v="0"/>
    <n v="0"/>
    <n v="0"/>
    <x v="4"/>
    <x v="1"/>
  </r>
  <r>
    <n v="40"/>
    <s v="No"/>
    <s v="Non-Travel"/>
    <n v="1094"/>
    <s v="Sales"/>
    <n v="28"/>
    <n v="3"/>
    <s v="Other"/>
    <n v="1"/>
    <n v="615"/>
    <n v="3"/>
    <s v="Male"/>
    <n v="58"/>
    <n v="1"/>
    <x v="2"/>
    <s v="Sales Executive"/>
    <n v="1"/>
    <s v="Divorced"/>
    <x v="444"/>
    <n v="11373"/>
    <n v="3"/>
    <s v="Y"/>
    <s v="No"/>
    <n v="15"/>
    <n v="3"/>
    <n v="3"/>
    <n v="80"/>
    <n v="1"/>
    <n v="20"/>
    <n v="2"/>
    <n v="3"/>
    <n v="1"/>
    <n v="0"/>
    <n v="0"/>
    <n v="1"/>
    <x v="0"/>
    <x v="2"/>
  </r>
  <r>
    <n v="41"/>
    <s v="No"/>
    <s v="Non-Travel"/>
    <n v="509"/>
    <s v="Research &amp; Development"/>
    <n v="2"/>
    <n v="4"/>
    <s v="Other"/>
    <n v="1"/>
    <n v="616"/>
    <n v="1"/>
    <s v="Female"/>
    <n v="62"/>
    <n v="2"/>
    <x v="0"/>
    <s v="Healthcare Representative"/>
    <n v="3"/>
    <s v="Single"/>
    <x v="445"/>
    <n v="2112"/>
    <n v="2"/>
    <s v="Y"/>
    <s v="Yes"/>
    <n v="17"/>
    <n v="3"/>
    <n v="1"/>
    <n v="80"/>
    <n v="0"/>
    <n v="10"/>
    <n v="3"/>
    <n v="3"/>
    <n v="8"/>
    <n v="7"/>
    <n v="0"/>
    <n v="7"/>
    <x v="0"/>
    <x v="0"/>
  </r>
  <r>
    <n v="26"/>
    <s v="No"/>
    <s v="Travel_Rarely"/>
    <n v="775"/>
    <s v="Sales"/>
    <n v="29"/>
    <n v="2"/>
    <s v="Medical"/>
    <n v="1"/>
    <n v="618"/>
    <n v="1"/>
    <s v="Male"/>
    <n v="45"/>
    <n v="3"/>
    <x v="0"/>
    <s v="Sales Executive"/>
    <n v="3"/>
    <s v="Divorced"/>
    <x v="383"/>
    <n v="4267"/>
    <n v="5"/>
    <s v="Y"/>
    <s v="No"/>
    <n v="12"/>
    <n v="3"/>
    <n v="1"/>
    <n v="80"/>
    <n v="2"/>
    <n v="8"/>
    <n v="5"/>
    <n v="3"/>
    <n v="0"/>
    <n v="0"/>
    <n v="0"/>
    <n v="0"/>
    <x v="2"/>
    <x v="0"/>
  </r>
  <r>
    <n v="35"/>
    <s v="No"/>
    <s v="Travel_Rarely"/>
    <n v="195"/>
    <s v="Sales"/>
    <n v="1"/>
    <n v="3"/>
    <s v="Medical"/>
    <n v="1"/>
    <n v="620"/>
    <n v="1"/>
    <s v="Female"/>
    <n v="80"/>
    <n v="3"/>
    <x v="0"/>
    <s v="Sales Executive"/>
    <n v="3"/>
    <s v="Single"/>
    <x v="446"/>
    <n v="6698"/>
    <n v="1"/>
    <s v="Y"/>
    <s v="No"/>
    <n v="16"/>
    <n v="3"/>
    <n v="4"/>
    <n v="80"/>
    <n v="0"/>
    <n v="5"/>
    <n v="3"/>
    <n v="3"/>
    <n v="5"/>
    <n v="4"/>
    <n v="0"/>
    <n v="3"/>
    <x v="2"/>
    <x v="0"/>
  </r>
  <r>
    <n v="34"/>
    <s v="No"/>
    <s v="Travel_Rarely"/>
    <n v="258"/>
    <s v="Sales"/>
    <n v="21"/>
    <n v="4"/>
    <s v="Life Sciences"/>
    <n v="1"/>
    <n v="621"/>
    <n v="4"/>
    <s v="Male"/>
    <n v="74"/>
    <n v="4"/>
    <x v="0"/>
    <s v="Sales Executive"/>
    <n v="4"/>
    <s v="Single"/>
    <x v="447"/>
    <n v="19921"/>
    <n v="1"/>
    <s v="Y"/>
    <s v="No"/>
    <n v="12"/>
    <n v="3"/>
    <n v="4"/>
    <n v="80"/>
    <n v="0"/>
    <n v="10"/>
    <n v="3"/>
    <n v="3"/>
    <n v="10"/>
    <n v="7"/>
    <n v="5"/>
    <n v="7"/>
    <x v="2"/>
    <x v="0"/>
  </r>
  <r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x v="1"/>
    <s v="Laboratory Technician"/>
    <n v="4"/>
    <s v="Single"/>
    <x v="246"/>
    <n v="23213"/>
    <n v="1"/>
    <s v="Y"/>
    <s v="Yes"/>
    <n v="18"/>
    <n v="3"/>
    <n v="2"/>
    <n v="80"/>
    <n v="0"/>
    <n v="1"/>
    <n v="3"/>
    <n v="1"/>
    <n v="1"/>
    <n v="0"/>
    <n v="0"/>
    <n v="0"/>
    <x v="2"/>
    <x v="1"/>
  </r>
  <r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x v="2"/>
    <s v="Manufacturing Director"/>
    <n v="4"/>
    <s v="Single"/>
    <x v="448"/>
    <n v="23848"/>
    <n v="4"/>
    <s v="Y"/>
    <s v="No"/>
    <n v="17"/>
    <n v="3"/>
    <n v="4"/>
    <n v="80"/>
    <n v="0"/>
    <n v="12"/>
    <n v="3"/>
    <n v="4"/>
    <n v="6"/>
    <n v="5"/>
    <n v="1"/>
    <n v="2"/>
    <x v="0"/>
    <x v="2"/>
  </r>
  <r>
    <n v="46"/>
    <s v="No"/>
    <s v="Travel_Frequently"/>
    <n v="1034"/>
    <s v="Research &amp; Development"/>
    <n v="18"/>
    <n v="1"/>
    <s v="Medical"/>
    <n v="1"/>
    <n v="624"/>
    <n v="1"/>
    <s v="Female"/>
    <n v="86"/>
    <n v="3"/>
    <x v="2"/>
    <s v="Healthcare Representative"/>
    <n v="3"/>
    <s v="Married"/>
    <x v="449"/>
    <n v="8984"/>
    <n v="5"/>
    <s v="Y"/>
    <s v="No"/>
    <n v="11"/>
    <n v="3"/>
    <n v="4"/>
    <n v="80"/>
    <n v="0"/>
    <n v="28"/>
    <n v="3"/>
    <n v="2"/>
    <n v="2"/>
    <n v="2"/>
    <n v="1"/>
    <n v="2"/>
    <x v="1"/>
    <x v="2"/>
  </r>
  <r>
    <n v="41"/>
    <s v="No"/>
    <s v="Travel_Rarely"/>
    <n v="1276"/>
    <s v="Sales"/>
    <n v="2"/>
    <n v="5"/>
    <s v="Life Sciences"/>
    <n v="1"/>
    <n v="625"/>
    <n v="2"/>
    <s v="Female"/>
    <n v="91"/>
    <n v="3"/>
    <x v="3"/>
    <s v="Manager"/>
    <n v="1"/>
    <s v="Married"/>
    <x v="450"/>
    <n v="5626"/>
    <n v="7"/>
    <s v="Y"/>
    <s v="No"/>
    <n v="16"/>
    <n v="3"/>
    <n v="2"/>
    <n v="80"/>
    <n v="1"/>
    <n v="22"/>
    <n v="2"/>
    <n v="3"/>
    <n v="18"/>
    <n v="16"/>
    <n v="11"/>
    <n v="8"/>
    <x v="0"/>
    <x v="3"/>
  </r>
  <r>
    <n v="37"/>
    <s v="No"/>
    <s v="Non-Travel"/>
    <n v="142"/>
    <s v="Sales"/>
    <n v="9"/>
    <n v="4"/>
    <s v="Medical"/>
    <n v="1"/>
    <n v="626"/>
    <n v="1"/>
    <s v="Male"/>
    <n v="69"/>
    <n v="3"/>
    <x v="2"/>
    <s v="Sales Executive"/>
    <n v="2"/>
    <s v="Divorced"/>
    <x v="451"/>
    <n v="24666"/>
    <n v="1"/>
    <s v="Y"/>
    <s v="No"/>
    <n v="13"/>
    <n v="3"/>
    <n v="4"/>
    <n v="80"/>
    <n v="1"/>
    <n v="9"/>
    <n v="6"/>
    <n v="3"/>
    <n v="9"/>
    <n v="5"/>
    <n v="7"/>
    <n v="7"/>
    <x v="0"/>
    <x v="2"/>
  </r>
  <r>
    <n v="52"/>
    <s v="No"/>
    <s v="Travel_Rarely"/>
    <n v="956"/>
    <s v="Research &amp; Development"/>
    <n v="6"/>
    <n v="2"/>
    <s v="Technical Degree"/>
    <n v="1"/>
    <n v="630"/>
    <n v="4"/>
    <s v="Male"/>
    <n v="78"/>
    <n v="3"/>
    <x v="0"/>
    <s v="Research Scientist"/>
    <n v="1"/>
    <s v="Divorced"/>
    <x v="452"/>
    <n v="22087"/>
    <n v="3"/>
    <s v="Y"/>
    <s v="Yes"/>
    <n v="12"/>
    <n v="3"/>
    <n v="2"/>
    <n v="80"/>
    <n v="2"/>
    <n v="18"/>
    <n v="3"/>
    <n v="3"/>
    <n v="10"/>
    <n v="9"/>
    <n v="6"/>
    <n v="9"/>
    <x v="1"/>
    <x v="0"/>
  </r>
  <r>
    <n v="32"/>
    <s v="Yes"/>
    <s v="Non-Travel"/>
    <n v="1474"/>
    <s v="Sales"/>
    <n v="11"/>
    <n v="4"/>
    <s v="Other"/>
    <n v="1"/>
    <n v="631"/>
    <n v="4"/>
    <s v="Male"/>
    <n v="60"/>
    <n v="4"/>
    <x v="0"/>
    <s v="Sales Executive"/>
    <n v="3"/>
    <s v="Married"/>
    <x v="453"/>
    <n v="23914"/>
    <n v="8"/>
    <s v="Y"/>
    <s v="No"/>
    <n v="12"/>
    <n v="3"/>
    <n v="4"/>
    <n v="80"/>
    <n v="0"/>
    <n v="6"/>
    <n v="2"/>
    <n v="3"/>
    <n v="4"/>
    <n v="2"/>
    <n v="1"/>
    <n v="2"/>
    <x v="2"/>
    <x v="0"/>
  </r>
  <r>
    <n v="24"/>
    <s v="No"/>
    <s v="Travel_Frequently"/>
    <n v="535"/>
    <s v="Sales"/>
    <n v="24"/>
    <n v="3"/>
    <s v="Medical"/>
    <n v="1"/>
    <n v="632"/>
    <n v="4"/>
    <s v="Male"/>
    <n v="38"/>
    <n v="3"/>
    <x v="1"/>
    <s v="Sales Representative"/>
    <n v="4"/>
    <s v="Married"/>
    <x v="454"/>
    <n v="5530"/>
    <n v="0"/>
    <s v="Y"/>
    <s v="No"/>
    <n v="13"/>
    <n v="3"/>
    <n v="3"/>
    <n v="80"/>
    <n v="2"/>
    <n v="3"/>
    <n v="3"/>
    <n v="3"/>
    <n v="2"/>
    <n v="2"/>
    <n v="2"/>
    <n v="1"/>
    <x v="4"/>
    <x v="1"/>
  </r>
  <r>
    <n v="38"/>
    <s v="No"/>
    <s v="Travel_Rarely"/>
    <n v="1495"/>
    <s v="Research &amp; Development"/>
    <n v="10"/>
    <n v="3"/>
    <s v="Medical"/>
    <n v="1"/>
    <n v="634"/>
    <n v="3"/>
    <s v="Female"/>
    <n v="76"/>
    <n v="3"/>
    <x v="0"/>
    <s v="Healthcare Representative"/>
    <n v="3"/>
    <s v="Married"/>
    <x v="427"/>
    <n v="22174"/>
    <n v="3"/>
    <s v="Y"/>
    <s v="No"/>
    <n v="19"/>
    <n v="3"/>
    <n v="3"/>
    <n v="80"/>
    <n v="1"/>
    <n v="18"/>
    <n v="4"/>
    <n v="3"/>
    <n v="1"/>
    <n v="0"/>
    <n v="0"/>
    <n v="0"/>
    <x v="0"/>
    <x v="2"/>
  </r>
  <r>
    <n v="37"/>
    <s v="No"/>
    <s v="Travel_Rarely"/>
    <n v="446"/>
    <s v="Research &amp; Development"/>
    <n v="1"/>
    <n v="4"/>
    <s v="Life Sciences"/>
    <n v="1"/>
    <n v="635"/>
    <n v="2"/>
    <s v="Female"/>
    <n v="65"/>
    <n v="3"/>
    <x v="0"/>
    <s v="Manufacturing Director"/>
    <n v="2"/>
    <s v="Married"/>
    <x v="455"/>
    <n v="15701"/>
    <n v="6"/>
    <s v="Y"/>
    <s v="No"/>
    <n v="12"/>
    <n v="3"/>
    <n v="2"/>
    <n v="80"/>
    <n v="1"/>
    <n v="8"/>
    <n v="2"/>
    <n v="2"/>
    <n v="6"/>
    <n v="5"/>
    <n v="4"/>
    <n v="3"/>
    <x v="0"/>
    <x v="0"/>
  </r>
  <r>
    <n v="49"/>
    <s v="No"/>
    <s v="Travel_Rarely"/>
    <n v="1245"/>
    <s v="Research &amp; Development"/>
    <n v="18"/>
    <n v="4"/>
    <s v="Life Sciences"/>
    <n v="1"/>
    <n v="638"/>
    <n v="4"/>
    <s v="Male"/>
    <n v="58"/>
    <n v="2"/>
    <x v="4"/>
    <s v="Research Director"/>
    <n v="3"/>
    <s v="Divorced"/>
    <x v="456"/>
    <n v="2125"/>
    <n v="1"/>
    <s v="Y"/>
    <s v="Yes"/>
    <n v="17"/>
    <n v="3"/>
    <n v="3"/>
    <n v="80"/>
    <n v="1"/>
    <n v="31"/>
    <n v="5"/>
    <n v="3"/>
    <n v="31"/>
    <n v="9"/>
    <n v="0"/>
    <n v="9"/>
    <x v="1"/>
    <x v="3"/>
  </r>
  <r>
    <n v="24"/>
    <s v="No"/>
    <s v="Travel_Rarely"/>
    <n v="691"/>
    <s v="Research &amp; Development"/>
    <n v="23"/>
    <n v="3"/>
    <s v="Medical"/>
    <n v="1"/>
    <n v="639"/>
    <n v="2"/>
    <s v="Male"/>
    <n v="89"/>
    <n v="4"/>
    <x v="1"/>
    <s v="Research Scientist"/>
    <n v="4"/>
    <s v="Married"/>
    <x v="457"/>
    <n v="21630"/>
    <n v="1"/>
    <s v="Y"/>
    <s v="Yes"/>
    <n v="11"/>
    <n v="3"/>
    <n v="2"/>
    <n v="80"/>
    <n v="2"/>
    <n v="6"/>
    <n v="3"/>
    <n v="3"/>
    <n v="6"/>
    <n v="5"/>
    <n v="1"/>
    <n v="4"/>
    <x v="4"/>
    <x v="1"/>
  </r>
  <r>
    <n v="26"/>
    <s v="No"/>
    <s v="Travel_Rarely"/>
    <n v="703"/>
    <s v="Sales"/>
    <n v="28"/>
    <n v="2"/>
    <s v="Marketing"/>
    <n v="1"/>
    <n v="641"/>
    <n v="1"/>
    <s v="Male"/>
    <n v="66"/>
    <n v="3"/>
    <x v="0"/>
    <s v="Sales Executive"/>
    <n v="2"/>
    <s v="Married"/>
    <x v="458"/>
    <n v="7428"/>
    <n v="1"/>
    <s v="Y"/>
    <s v="No"/>
    <n v="20"/>
    <n v="4"/>
    <n v="4"/>
    <n v="80"/>
    <n v="2"/>
    <n v="6"/>
    <n v="5"/>
    <n v="4"/>
    <n v="5"/>
    <n v="3"/>
    <n v="1"/>
    <n v="4"/>
    <x v="2"/>
    <x v="0"/>
  </r>
  <r>
    <n v="24"/>
    <s v="No"/>
    <s v="Travel_Rarely"/>
    <n v="823"/>
    <s v="Research &amp; Development"/>
    <n v="17"/>
    <n v="2"/>
    <s v="Other"/>
    <n v="1"/>
    <n v="643"/>
    <n v="4"/>
    <s v="Male"/>
    <n v="94"/>
    <n v="2"/>
    <x v="1"/>
    <s v="Laboratory Technician"/>
    <n v="2"/>
    <s v="Married"/>
    <x v="459"/>
    <n v="9100"/>
    <n v="1"/>
    <s v="Y"/>
    <s v="No"/>
    <n v="21"/>
    <n v="4"/>
    <n v="4"/>
    <n v="80"/>
    <n v="1"/>
    <n v="1"/>
    <n v="2"/>
    <n v="3"/>
    <n v="1"/>
    <n v="0"/>
    <n v="0"/>
    <n v="0"/>
    <x v="4"/>
    <x v="1"/>
  </r>
  <r>
    <n v="50"/>
    <s v="No"/>
    <s v="Travel_Frequently"/>
    <n v="1246"/>
    <s v="Human Resources"/>
    <n v="3"/>
    <n v="3"/>
    <s v="Medical"/>
    <n v="1"/>
    <n v="644"/>
    <n v="1"/>
    <s v="Male"/>
    <n v="99"/>
    <n v="3"/>
    <x v="4"/>
    <s v="Manager"/>
    <n v="2"/>
    <s v="Married"/>
    <x v="460"/>
    <n v="7999"/>
    <n v="1"/>
    <s v="Y"/>
    <s v="No"/>
    <n v="11"/>
    <n v="3"/>
    <n v="3"/>
    <n v="80"/>
    <n v="1"/>
    <n v="32"/>
    <n v="2"/>
    <n v="3"/>
    <n v="32"/>
    <n v="5"/>
    <n v="10"/>
    <n v="7"/>
    <x v="1"/>
    <x v="3"/>
  </r>
  <r>
    <n v="25"/>
    <s v="No"/>
    <s v="Travel_Rarely"/>
    <n v="622"/>
    <s v="Sales"/>
    <n v="13"/>
    <n v="1"/>
    <s v="Medical"/>
    <n v="1"/>
    <n v="645"/>
    <n v="2"/>
    <s v="Male"/>
    <n v="40"/>
    <n v="3"/>
    <x v="1"/>
    <s v="Sales Representative"/>
    <n v="3"/>
    <s v="Married"/>
    <x v="461"/>
    <n v="26376"/>
    <n v="1"/>
    <s v="Y"/>
    <s v="No"/>
    <n v="11"/>
    <n v="3"/>
    <n v="3"/>
    <n v="80"/>
    <n v="0"/>
    <n v="7"/>
    <n v="1"/>
    <n v="3"/>
    <n v="7"/>
    <n v="4"/>
    <n v="0"/>
    <n v="6"/>
    <x v="4"/>
    <x v="1"/>
  </r>
  <r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x v="1"/>
    <s v="Laboratory Technician"/>
    <n v="3"/>
    <s v="Married"/>
    <x v="407"/>
    <n v="14168"/>
    <n v="1"/>
    <s v="Y"/>
    <s v="Yes"/>
    <n v="16"/>
    <n v="3"/>
    <n v="4"/>
    <n v="80"/>
    <n v="1"/>
    <n v="6"/>
    <n v="4"/>
    <n v="3"/>
    <n v="6"/>
    <n v="3"/>
    <n v="1"/>
    <n v="2"/>
    <x v="4"/>
    <x v="1"/>
  </r>
  <r>
    <n v="30"/>
    <s v="Yes"/>
    <s v="Travel_Frequently"/>
    <n v="448"/>
    <s v="Sales"/>
    <n v="12"/>
    <n v="4"/>
    <s v="Life Sciences"/>
    <n v="1"/>
    <n v="648"/>
    <n v="2"/>
    <s v="Male"/>
    <n v="74"/>
    <n v="2"/>
    <x v="1"/>
    <s v="Sales Representative"/>
    <n v="1"/>
    <s v="Married"/>
    <x v="462"/>
    <n v="14470"/>
    <n v="1"/>
    <s v="Y"/>
    <s v="No"/>
    <n v="18"/>
    <n v="3"/>
    <n v="3"/>
    <n v="80"/>
    <n v="1"/>
    <n v="1"/>
    <n v="2"/>
    <n v="4"/>
    <n v="1"/>
    <n v="0"/>
    <n v="0"/>
    <n v="0"/>
    <x v="2"/>
    <x v="1"/>
  </r>
  <r>
    <n v="34"/>
    <s v="No"/>
    <s v="Travel_Rarely"/>
    <n v="254"/>
    <s v="Research &amp; Development"/>
    <n v="1"/>
    <n v="2"/>
    <s v="Life Sciences"/>
    <n v="1"/>
    <n v="649"/>
    <n v="2"/>
    <s v="Male"/>
    <n v="83"/>
    <n v="2"/>
    <x v="1"/>
    <s v="Research Scientist"/>
    <n v="4"/>
    <s v="Married"/>
    <x v="463"/>
    <n v="22794"/>
    <n v="1"/>
    <s v="Y"/>
    <s v="Yes"/>
    <n v="13"/>
    <n v="3"/>
    <n v="4"/>
    <n v="80"/>
    <n v="1"/>
    <n v="6"/>
    <n v="3"/>
    <n v="3"/>
    <n v="6"/>
    <n v="5"/>
    <n v="1"/>
    <n v="3"/>
    <x v="2"/>
    <x v="0"/>
  </r>
  <r>
    <n v="31"/>
    <s v="Yes"/>
    <s v="Travel_Rarely"/>
    <n v="1365"/>
    <s v="Sales"/>
    <n v="13"/>
    <n v="4"/>
    <s v="Medical"/>
    <n v="1"/>
    <n v="650"/>
    <n v="2"/>
    <s v="Male"/>
    <n v="46"/>
    <n v="3"/>
    <x v="0"/>
    <s v="Sales Executive"/>
    <n v="1"/>
    <s v="Divorced"/>
    <x v="464"/>
    <n v="11512"/>
    <n v="2"/>
    <s v="Y"/>
    <s v="No"/>
    <n v="17"/>
    <n v="3"/>
    <n v="3"/>
    <n v="80"/>
    <n v="0"/>
    <n v="9"/>
    <n v="2"/>
    <n v="1"/>
    <n v="3"/>
    <n v="1"/>
    <n v="1"/>
    <n v="2"/>
    <x v="2"/>
    <x v="0"/>
  </r>
  <r>
    <n v="35"/>
    <s v="No"/>
    <s v="Travel_Rarely"/>
    <n v="538"/>
    <s v="Research &amp; Development"/>
    <n v="25"/>
    <n v="2"/>
    <s v="Other"/>
    <n v="1"/>
    <n v="652"/>
    <n v="1"/>
    <s v="Male"/>
    <n v="54"/>
    <n v="2"/>
    <x v="0"/>
    <s v="Laboratory Technician"/>
    <n v="4"/>
    <s v="Single"/>
    <x v="465"/>
    <n v="14004"/>
    <n v="4"/>
    <s v="Y"/>
    <s v="No"/>
    <n v="14"/>
    <n v="3"/>
    <n v="4"/>
    <n v="80"/>
    <n v="0"/>
    <n v="9"/>
    <n v="3"/>
    <n v="3"/>
    <n v="3"/>
    <n v="2"/>
    <n v="0"/>
    <n v="2"/>
    <x v="2"/>
    <x v="0"/>
  </r>
  <r>
    <n v="31"/>
    <s v="No"/>
    <s v="Travel_Rarely"/>
    <n v="525"/>
    <s v="Sales"/>
    <n v="6"/>
    <n v="4"/>
    <s v="Medical"/>
    <n v="1"/>
    <n v="653"/>
    <n v="1"/>
    <s v="Male"/>
    <n v="66"/>
    <n v="4"/>
    <x v="0"/>
    <s v="Sales Executive"/>
    <n v="4"/>
    <s v="Divorced"/>
    <x v="466"/>
    <n v="6219"/>
    <n v="4"/>
    <s v="Y"/>
    <s v="No"/>
    <n v="22"/>
    <n v="4"/>
    <n v="4"/>
    <n v="80"/>
    <n v="2"/>
    <n v="13"/>
    <n v="4"/>
    <n v="4"/>
    <n v="7"/>
    <n v="7"/>
    <n v="5"/>
    <n v="7"/>
    <x v="2"/>
    <x v="0"/>
  </r>
  <r>
    <n v="27"/>
    <s v="No"/>
    <s v="Travel_Rarely"/>
    <n v="798"/>
    <s v="Research &amp; Development"/>
    <n v="6"/>
    <n v="4"/>
    <s v="Medical"/>
    <n v="1"/>
    <n v="655"/>
    <n v="1"/>
    <s v="Female"/>
    <n v="66"/>
    <n v="2"/>
    <x v="1"/>
    <s v="Research Scientist"/>
    <n v="3"/>
    <s v="Divorced"/>
    <x v="467"/>
    <n v="5013"/>
    <n v="0"/>
    <s v="Y"/>
    <s v="No"/>
    <n v="12"/>
    <n v="3"/>
    <n v="3"/>
    <n v="80"/>
    <n v="2"/>
    <n v="6"/>
    <n v="5"/>
    <n v="2"/>
    <n v="5"/>
    <n v="3"/>
    <n v="0"/>
    <n v="3"/>
    <x v="2"/>
    <x v="1"/>
  </r>
  <r>
    <n v="37"/>
    <s v="No"/>
    <s v="Travel_Rarely"/>
    <n v="558"/>
    <s v="Sales"/>
    <n v="2"/>
    <n v="3"/>
    <s v="Marketing"/>
    <n v="1"/>
    <n v="656"/>
    <n v="4"/>
    <s v="Male"/>
    <n v="75"/>
    <n v="3"/>
    <x v="0"/>
    <s v="Sales Executive"/>
    <n v="3"/>
    <s v="Married"/>
    <x v="468"/>
    <n v="3010"/>
    <n v="4"/>
    <s v="Y"/>
    <s v="Yes"/>
    <n v="11"/>
    <n v="3"/>
    <n v="3"/>
    <n v="80"/>
    <n v="1"/>
    <n v="17"/>
    <n v="3"/>
    <n v="2"/>
    <n v="3"/>
    <n v="0"/>
    <n v="1"/>
    <n v="0"/>
    <x v="0"/>
    <x v="2"/>
  </r>
  <r>
    <n v="20"/>
    <s v="No"/>
    <s v="Travel_Rarely"/>
    <n v="959"/>
    <s v="Research &amp; Development"/>
    <n v="1"/>
    <n v="3"/>
    <s v="Life Sciences"/>
    <n v="1"/>
    <n v="657"/>
    <n v="4"/>
    <s v="Female"/>
    <n v="83"/>
    <n v="2"/>
    <x v="1"/>
    <s v="Research Scientist"/>
    <n v="2"/>
    <s v="Single"/>
    <x v="469"/>
    <n v="11757"/>
    <n v="1"/>
    <s v="Y"/>
    <s v="No"/>
    <n v="13"/>
    <n v="3"/>
    <n v="4"/>
    <n v="80"/>
    <n v="0"/>
    <n v="1"/>
    <n v="0"/>
    <n v="4"/>
    <n v="1"/>
    <n v="0"/>
    <n v="0"/>
    <n v="0"/>
    <x v="4"/>
    <x v="1"/>
  </r>
  <r>
    <n v="42"/>
    <s v="No"/>
    <s v="Travel_Rarely"/>
    <n v="622"/>
    <s v="Research &amp; Development"/>
    <n v="2"/>
    <n v="4"/>
    <s v="Life Sciences"/>
    <n v="1"/>
    <n v="659"/>
    <n v="3"/>
    <s v="Female"/>
    <n v="81"/>
    <n v="3"/>
    <x v="0"/>
    <s v="Healthcare Representative"/>
    <n v="4"/>
    <s v="Married"/>
    <x v="470"/>
    <n v="5718"/>
    <n v="1"/>
    <s v="Y"/>
    <s v="No"/>
    <n v="13"/>
    <n v="3"/>
    <n v="2"/>
    <n v="80"/>
    <n v="2"/>
    <n v="10"/>
    <n v="4"/>
    <n v="3"/>
    <n v="10"/>
    <n v="2"/>
    <n v="2"/>
    <n v="2"/>
    <x v="0"/>
    <x v="0"/>
  </r>
  <r>
    <n v="43"/>
    <s v="No"/>
    <s v="Travel_Rarely"/>
    <n v="782"/>
    <s v="Research &amp; Development"/>
    <n v="6"/>
    <n v="4"/>
    <s v="Other"/>
    <n v="1"/>
    <n v="661"/>
    <n v="2"/>
    <s v="Male"/>
    <n v="50"/>
    <n v="2"/>
    <x v="3"/>
    <s v="Research Director"/>
    <n v="4"/>
    <s v="Divorced"/>
    <x v="471"/>
    <n v="2671"/>
    <n v="4"/>
    <s v="Y"/>
    <s v="Yes"/>
    <n v="14"/>
    <n v="3"/>
    <n v="3"/>
    <n v="80"/>
    <n v="1"/>
    <n v="21"/>
    <n v="3"/>
    <n v="2"/>
    <n v="1"/>
    <n v="0"/>
    <n v="0"/>
    <n v="0"/>
    <x v="0"/>
    <x v="3"/>
  </r>
  <r>
    <n v="38"/>
    <s v="No"/>
    <s v="Travel_Rarely"/>
    <n v="362"/>
    <s v="Research &amp; Development"/>
    <n v="1"/>
    <n v="1"/>
    <s v="Life Sciences"/>
    <n v="1"/>
    <n v="662"/>
    <n v="3"/>
    <s v="Female"/>
    <n v="43"/>
    <n v="3"/>
    <x v="1"/>
    <s v="Research Scientist"/>
    <n v="1"/>
    <s v="Single"/>
    <x v="472"/>
    <n v="14561"/>
    <n v="3"/>
    <s v="Y"/>
    <s v="No"/>
    <n v="17"/>
    <n v="3"/>
    <n v="4"/>
    <n v="80"/>
    <n v="0"/>
    <n v="8"/>
    <n v="3"/>
    <n v="2"/>
    <n v="0"/>
    <n v="0"/>
    <n v="0"/>
    <n v="0"/>
    <x v="0"/>
    <x v="1"/>
  </r>
  <r>
    <n v="43"/>
    <s v="No"/>
    <s v="Travel_Frequently"/>
    <n v="1001"/>
    <s v="Research &amp; Development"/>
    <n v="9"/>
    <n v="5"/>
    <s v="Medical"/>
    <n v="1"/>
    <n v="663"/>
    <n v="4"/>
    <s v="Male"/>
    <n v="72"/>
    <n v="3"/>
    <x v="0"/>
    <s v="Laboratory Technician"/>
    <n v="3"/>
    <s v="Divorced"/>
    <x v="473"/>
    <n v="19627"/>
    <n v="3"/>
    <s v="Y"/>
    <s v="Yes"/>
    <n v="13"/>
    <n v="3"/>
    <n v="2"/>
    <n v="80"/>
    <n v="1"/>
    <n v="10"/>
    <n v="3"/>
    <n v="3"/>
    <n v="8"/>
    <n v="7"/>
    <n v="4"/>
    <n v="7"/>
    <x v="0"/>
    <x v="0"/>
  </r>
  <r>
    <n v="48"/>
    <s v="No"/>
    <s v="Travel_Rarely"/>
    <n v="1236"/>
    <s v="Research &amp; Development"/>
    <n v="1"/>
    <n v="4"/>
    <s v="Life Sciences"/>
    <n v="1"/>
    <n v="664"/>
    <n v="4"/>
    <s v="Female"/>
    <n v="40"/>
    <n v="2"/>
    <x v="3"/>
    <s v="Manager"/>
    <n v="1"/>
    <s v="Married"/>
    <x v="474"/>
    <n v="17997"/>
    <n v="7"/>
    <s v="Y"/>
    <s v="No"/>
    <n v="11"/>
    <n v="3"/>
    <n v="1"/>
    <n v="80"/>
    <n v="1"/>
    <n v="21"/>
    <n v="3"/>
    <n v="1"/>
    <n v="3"/>
    <n v="2"/>
    <n v="0"/>
    <n v="2"/>
    <x v="1"/>
    <x v="3"/>
  </r>
  <r>
    <n v="44"/>
    <s v="No"/>
    <s v="Travel_Rarely"/>
    <n v="1112"/>
    <s v="Human Resources"/>
    <n v="1"/>
    <n v="4"/>
    <s v="Life Sciences"/>
    <n v="1"/>
    <n v="665"/>
    <n v="1"/>
    <s v="Female"/>
    <n v="50"/>
    <n v="2"/>
    <x v="0"/>
    <s v="Human Resources"/>
    <n v="3"/>
    <s v="Single"/>
    <x v="475"/>
    <n v="26894"/>
    <n v="4"/>
    <s v="Y"/>
    <s v="No"/>
    <n v="11"/>
    <n v="3"/>
    <n v="2"/>
    <n v="80"/>
    <n v="0"/>
    <n v="10"/>
    <n v="1"/>
    <n v="4"/>
    <n v="2"/>
    <n v="2"/>
    <n v="0"/>
    <n v="2"/>
    <x v="0"/>
    <x v="0"/>
  </r>
  <r>
    <n v="34"/>
    <s v="No"/>
    <s v="Travel_Rarely"/>
    <n v="204"/>
    <s v="Sales"/>
    <n v="14"/>
    <n v="3"/>
    <s v="Technical Degree"/>
    <n v="1"/>
    <n v="666"/>
    <n v="3"/>
    <s v="Female"/>
    <n v="31"/>
    <n v="3"/>
    <x v="1"/>
    <s v="Sales Representative"/>
    <n v="3"/>
    <s v="Divorced"/>
    <x v="476"/>
    <n v="2912"/>
    <n v="1"/>
    <s v="Y"/>
    <s v="Yes"/>
    <n v="18"/>
    <n v="3"/>
    <n v="4"/>
    <n v="80"/>
    <n v="2"/>
    <n v="8"/>
    <n v="3"/>
    <n v="3"/>
    <n v="8"/>
    <n v="2"/>
    <n v="0"/>
    <n v="6"/>
    <x v="2"/>
    <x v="1"/>
  </r>
  <r>
    <n v="27"/>
    <s v="Yes"/>
    <s v="Travel_Rarely"/>
    <n v="1420"/>
    <s v="Sales"/>
    <n v="2"/>
    <n v="1"/>
    <s v="Marketing"/>
    <n v="1"/>
    <n v="667"/>
    <n v="3"/>
    <s v="Male"/>
    <n v="85"/>
    <n v="3"/>
    <x v="1"/>
    <s v="Sales Representative"/>
    <n v="1"/>
    <s v="Divorced"/>
    <x v="477"/>
    <n v="16346"/>
    <n v="0"/>
    <s v="Y"/>
    <s v="No"/>
    <n v="11"/>
    <n v="3"/>
    <n v="2"/>
    <n v="80"/>
    <n v="1"/>
    <n v="5"/>
    <n v="3"/>
    <n v="3"/>
    <n v="4"/>
    <n v="3"/>
    <n v="0"/>
    <n v="2"/>
    <x v="2"/>
    <x v="0"/>
  </r>
  <r>
    <n v="21"/>
    <s v="No"/>
    <s v="Travel_Rarely"/>
    <n v="1343"/>
    <s v="Sales"/>
    <n v="22"/>
    <n v="1"/>
    <s v="Technical Degree"/>
    <n v="1"/>
    <n v="669"/>
    <n v="3"/>
    <s v="Male"/>
    <n v="49"/>
    <n v="3"/>
    <x v="1"/>
    <s v="Sales Representative"/>
    <n v="3"/>
    <s v="Single"/>
    <x v="478"/>
    <n v="24444"/>
    <n v="1"/>
    <s v="Y"/>
    <s v="No"/>
    <n v="11"/>
    <n v="3"/>
    <n v="3"/>
    <n v="80"/>
    <n v="0"/>
    <n v="3"/>
    <n v="2"/>
    <n v="3"/>
    <n v="3"/>
    <n v="2"/>
    <n v="1"/>
    <n v="2"/>
    <x v="4"/>
    <x v="0"/>
  </r>
  <r>
    <n v="44"/>
    <s v="No"/>
    <s v="Travel_Rarely"/>
    <n v="1315"/>
    <s v="Research &amp; Development"/>
    <n v="3"/>
    <n v="4"/>
    <s v="Other"/>
    <n v="1"/>
    <n v="671"/>
    <n v="4"/>
    <s v="Male"/>
    <n v="35"/>
    <n v="3"/>
    <x v="4"/>
    <s v="Manager"/>
    <n v="4"/>
    <s v="Married"/>
    <x v="479"/>
    <n v="9358"/>
    <n v="4"/>
    <s v="Y"/>
    <s v="Yes"/>
    <n v="12"/>
    <n v="3"/>
    <n v="1"/>
    <n v="80"/>
    <n v="1"/>
    <n v="26"/>
    <n v="2"/>
    <n v="4"/>
    <n v="2"/>
    <n v="2"/>
    <n v="0"/>
    <n v="1"/>
    <x v="0"/>
    <x v="3"/>
  </r>
  <r>
    <n v="22"/>
    <s v="No"/>
    <s v="Travel_Rarely"/>
    <n v="604"/>
    <s v="Research &amp; Development"/>
    <n v="6"/>
    <n v="1"/>
    <s v="Medical"/>
    <n v="1"/>
    <n v="675"/>
    <n v="1"/>
    <s v="Male"/>
    <n v="69"/>
    <n v="3"/>
    <x v="1"/>
    <s v="Research Scientist"/>
    <n v="3"/>
    <s v="Married"/>
    <x v="480"/>
    <n v="12145"/>
    <n v="0"/>
    <s v="Y"/>
    <s v="No"/>
    <n v="20"/>
    <n v="4"/>
    <n v="4"/>
    <n v="80"/>
    <n v="0"/>
    <n v="3"/>
    <n v="3"/>
    <n v="3"/>
    <n v="2"/>
    <n v="2"/>
    <n v="2"/>
    <n v="2"/>
    <x v="4"/>
    <x v="1"/>
  </r>
  <r>
    <n v="33"/>
    <s v="No"/>
    <s v="Travel_Rarely"/>
    <n v="1216"/>
    <s v="Sales"/>
    <n v="8"/>
    <n v="4"/>
    <s v="Marketing"/>
    <n v="1"/>
    <n v="677"/>
    <n v="3"/>
    <s v="Male"/>
    <n v="39"/>
    <n v="3"/>
    <x v="0"/>
    <s v="Sales Executive"/>
    <n v="3"/>
    <s v="Divorced"/>
    <x v="481"/>
    <n v="20431"/>
    <n v="0"/>
    <s v="Y"/>
    <s v="No"/>
    <n v="12"/>
    <n v="3"/>
    <n v="4"/>
    <n v="80"/>
    <n v="0"/>
    <n v="6"/>
    <n v="3"/>
    <n v="3"/>
    <n v="5"/>
    <n v="0"/>
    <n v="1"/>
    <n v="2"/>
    <x v="2"/>
    <x v="2"/>
  </r>
  <r>
    <n v="32"/>
    <s v="No"/>
    <s v="Travel_Rarely"/>
    <n v="646"/>
    <s v="Research &amp; Development"/>
    <n v="9"/>
    <n v="4"/>
    <s v="Life Sciences"/>
    <n v="1"/>
    <n v="679"/>
    <n v="1"/>
    <s v="Female"/>
    <n v="92"/>
    <n v="3"/>
    <x v="0"/>
    <s v="Research Scientist"/>
    <n v="4"/>
    <s v="Married"/>
    <x v="482"/>
    <n v="18089"/>
    <n v="1"/>
    <s v="Y"/>
    <s v="Yes"/>
    <n v="12"/>
    <n v="3"/>
    <n v="4"/>
    <n v="80"/>
    <n v="1"/>
    <n v="6"/>
    <n v="2"/>
    <n v="2"/>
    <n v="6"/>
    <n v="4"/>
    <n v="0"/>
    <n v="5"/>
    <x v="2"/>
    <x v="0"/>
  </r>
  <r>
    <n v="30"/>
    <s v="No"/>
    <s v="Travel_Frequently"/>
    <n v="160"/>
    <s v="Research &amp; Development"/>
    <n v="3"/>
    <n v="3"/>
    <s v="Medical"/>
    <n v="1"/>
    <n v="680"/>
    <n v="3"/>
    <s v="Female"/>
    <n v="71"/>
    <n v="3"/>
    <x v="1"/>
    <s v="Research Scientist"/>
    <n v="3"/>
    <s v="Divorced"/>
    <x v="483"/>
    <n v="22653"/>
    <n v="1"/>
    <s v="Y"/>
    <s v="No"/>
    <n v="20"/>
    <n v="4"/>
    <n v="3"/>
    <n v="80"/>
    <n v="1"/>
    <n v="1"/>
    <n v="2"/>
    <n v="3"/>
    <n v="1"/>
    <n v="0"/>
    <n v="0"/>
    <n v="0"/>
    <x v="2"/>
    <x v="1"/>
  </r>
  <r>
    <n v="53"/>
    <s v="No"/>
    <s v="Travel_Rarely"/>
    <n v="238"/>
    <s v="Sales"/>
    <n v="1"/>
    <n v="1"/>
    <s v="Medical"/>
    <n v="1"/>
    <n v="682"/>
    <n v="4"/>
    <s v="Female"/>
    <n v="34"/>
    <n v="3"/>
    <x v="0"/>
    <s v="Sales Executive"/>
    <n v="1"/>
    <s v="Single"/>
    <x v="484"/>
    <n v="7507"/>
    <n v="7"/>
    <s v="Y"/>
    <s v="No"/>
    <n v="20"/>
    <n v="4"/>
    <n v="4"/>
    <n v="80"/>
    <n v="0"/>
    <n v="18"/>
    <n v="2"/>
    <n v="4"/>
    <n v="14"/>
    <n v="7"/>
    <n v="8"/>
    <n v="10"/>
    <x v="1"/>
    <x v="2"/>
  </r>
  <r>
    <n v="34"/>
    <s v="No"/>
    <s v="Travel_Rarely"/>
    <n v="1397"/>
    <s v="Research &amp; Development"/>
    <n v="1"/>
    <n v="5"/>
    <s v="Life Sciences"/>
    <n v="1"/>
    <n v="683"/>
    <n v="2"/>
    <s v="Male"/>
    <n v="42"/>
    <n v="3"/>
    <x v="1"/>
    <s v="Research Scientist"/>
    <n v="4"/>
    <s v="Married"/>
    <x v="485"/>
    <n v="7660"/>
    <n v="1"/>
    <s v="Y"/>
    <s v="No"/>
    <n v="12"/>
    <n v="3"/>
    <n v="4"/>
    <n v="80"/>
    <n v="1"/>
    <n v="10"/>
    <n v="4"/>
    <n v="2"/>
    <n v="10"/>
    <n v="9"/>
    <n v="8"/>
    <n v="8"/>
    <x v="2"/>
    <x v="1"/>
  </r>
  <r>
    <n v="45"/>
    <s v="Yes"/>
    <s v="Travel_Frequently"/>
    <n v="306"/>
    <s v="Sales"/>
    <n v="26"/>
    <n v="4"/>
    <s v="Life Sciences"/>
    <n v="1"/>
    <n v="684"/>
    <n v="1"/>
    <s v="Female"/>
    <n v="100"/>
    <n v="3"/>
    <x v="0"/>
    <s v="Sales Executive"/>
    <n v="1"/>
    <s v="Married"/>
    <x v="486"/>
    <n v="5630"/>
    <n v="2"/>
    <s v="Y"/>
    <s v="No"/>
    <n v="14"/>
    <n v="3"/>
    <n v="4"/>
    <n v="80"/>
    <n v="2"/>
    <n v="5"/>
    <n v="4"/>
    <n v="3"/>
    <n v="1"/>
    <n v="1"/>
    <n v="0"/>
    <n v="0"/>
    <x v="0"/>
    <x v="0"/>
  </r>
  <r>
    <n v="26"/>
    <s v="No"/>
    <s v="Travel_Rarely"/>
    <n v="991"/>
    <s v="Research &amp; Development"/>
    <n v="6"/>
    <n v="3"/>
    <s v="Life Sciences"/>
    <n v="1"/>
    <n v="686"/>
    <n v="3"/>
    <s v="Female"/>
    <n v="71"/>
    <n v="3"/>
    <x v="1"/>
    <s v="Laboratory Technician"/>
    <n v="4"/>
    <s v="Married"/>
    <x v="487"/>
    <n v="17759"/>
    <n v="1"/>
    <s v="Y"/>
    <s v="Yes"/>
    <n v="13"/>
    <n v="3"/>
    <n v="3"/>
    <n v="80"/>
    <n v="1"/>
    <n v="3"/>
    <n v="2"/>
    <n v="3"/>
    <n v="3"/>
    <n v="2"/>
    <n v="0"/>
    <n v="2"/>
    <x v="2"/>
    <x v="1"/>
  </r>
  <r>
    <n v="37"/>
    <s v="No"/>
    <s v="Travel_Rarely"/>
    <n v="482"/>
    <s v="Research &amp; Development"/>
    <n v="3"/>
    <n v="3"/>
    <s v="Other"/>
    <n v="1"/>
    <n v="689"/>
    <n v="3"/>
    <s v="Male"/>
    <n v="36"/>
    <n v="3"/>
    <x v="2"/>
    <s v="Manufacturing Director"/>
    <n v="3"/>
    <s v="Married"/>
    <x v="488"/>
    <n v="9606"/>
    <n v="1"/>
    <s v="Y"/>
    <s v="No"/>
    <n v="15"/>
    <n v="3"/>
    <n v="3"/>
    <n v="80"/>
    <n v="1"/>
    <n v="10"/>
    <n v="2"/>
    <n v="3"/>
    <n v="10"/>
    <n v="7"/>
    <n v="7"/>
    <n v="8"/>
    <x v="0"/>
    <x v="2"/>
  </r>
  <r>
    <n v="29"/>
    <s v="No"/>
    <s v="Travel_Rarely"/>
    <n v="1176"/>
    <s v="Sales"/>
    <n v="3"/>
    <n v="2"/>
    <s v="Medical"/>
    <n v="1"/>
    <n v="690"/>
    <n v="2"/>
    <s v="Female"/>
    <n v="62"/>
    <n v="3"/>
    <x v="0"/>
    <s v="Sales Executive"/>
    <n v="3"/>
    <s v="Married"/>
    <x v="489"/>
    <n v="3487"/>
    <n v="1"/>
    <s v="Y"/>
    <s v="No"/>
    <n v="14"/>
    <n v="3"/>
    <n v="1"/>
    <n v="80"/>
    <n v="1"/>
    <n v="6"/>
    <n v="5"/>
    <n v="2"/>
    <n v="6"/>
    <n v="0"/>
    <n v="1"/>
    <n v="2"/>
    <x v="2"/>
    <x v="0"/>
  </r>
  <r>
    <n v="35"/>
    <s v="No"/>
    <s v="Travel_Rarely"/>
    <n v="1017"/>
    <s v="Research &amp; Development"/>
    <n v="6"/>
    <n v="4"/>
    <s v="Life Sciences"/>
    <n v="1"/>
    <n v="691"/>
    <n v="2"/>
    <s v="Male"/>
    <n v="82"/>
    <n v="1"/>
    <x v="0"/>
    <s v="Research Scientist"/>
    <n v="4"/>
    <s v="Single"/>
    <x v="490"/>
    <n v="19368"/>
    <n v="1"/>
    <s v="Y"/>
    <s v="No"/>
    <n v="13"/>
    <n v="3"/>
    <n v="2"/>
    <n v="80"/>
    <n v="0"/>
    <n v="17"/>
    <n v="3"/>
    <n v="3"/>
    <n v="17"/>
    <n v="11"/>
    <n v="11"/>
    <n v="8"/>
    <x v="2"/>
    <x v="0"/>
  </r>
  <r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x v="0"/>
    <s v="Healthcare Representative"/>
    <n v="4"/>
    <s v="Divorced"/>
    <x v="491"/>
    <n v="5335"/>
    <n v="3"/>
    <s v="Y"/>
    <s v="No"/>
    <n v="23"/>
    <n v="4"/>
    <n v="3"/>
    <n v="80"/>
    <n v="1"/>
    <n v="15"/>
    <n v="2"/>
    <n v="1"/>
    <n v="13"/>
    <n v="11"/>
    <n v="4"/>
    <n v="7"/>
    <x v="2"/>
    <x v="2"/>
  </r>
  <r>
    <n v="54"/>
    <s v="No"/>
    <s v="Travel_Rarely"/>
    <n v="397"/>
    <s v="Human Resources"/>
    <n v="19"/>
    <n v="4"/>
    <s v="Medical"/>
    <n v="1"/>
    <n v="698"/>
    <n v="3"/>
    <s v="Male"/>
    <n v="88"/>
    <n v="3"/>
    <x v="2"/>
    <s v="Human Resources"/>
    <n v="2"/>
    <s v="Married"/>
    <x v="492"/>
    <n v="6729"/>
    <n v="2"/>
    <s v="Y"/>
    <s v="No"/>
    <n v="15"/>
    <n v="3"/>
    <n v="3"/>
    <n v="80"/>
    <n v="1"/>
    <n v="16"/>
    <n v="1"/>
    <n v="4"/>
    <n v="9"/>
    <n v="7"/>
    <n v="7"/>
    <n v="1"/>
    <x v="1"/>
    <x v="2"/>
  </r>
  <r>
    <n v="36"/>
    <s v="No"/>
    <s v="Travel_Rarely"/>
    <n v="913"/>
    <s v="Research &amp; Development"/>
    <n v="9"/>
    <n v="2"/>
    <s v="Medical"/>
    <n v="1"/>
    <n v="699"/>
    <n v="2"/>
    <s v="Male"/>
    <n v="48"/>
    <n v="2"/>
    <x v="0"/>
    <s v="Manufacturing Director"/>
    <n v="2"/>
    <s v="Divorced"/>
    <x v="493"/>
    <n v="13934"/>
    <n v="2"/>
    <s v="Y"/>
    <s v="Yes"/>
    <n v="11"/>
    <n v="3"/>
    <n v="3"/>
    <n v="80"/>
    <n v="1"/>
    <n v="13"/>
    <n v="2"/>
    <n v="3"/>
    <n v="3"/>
    <n v="2"/>
    <n v="0"/>
    <n v="2"/>
    <x v="0"/>
    <x v="2"/>
  </r>
  <r>
    <n v="27"/>
    <s v="No"/>
    <s v="Travel_Rarely"/>
    <n v="1115"/>
    <s v="Research &amp; Development"/>
    <n v="3"/>
    <n v="4"/>
    <s v="Medical"/>
    <n v="1"/>
    <n v="700"/>
    <n v="1"/>
    <s v="Male"/>
    <n v="54"/>
    <n v="2"/>
    <x v="1"/>
    <s v="Research Scientist"/>
    <n v="4"/>
    <s v="Single"/>
    <x v="494"/>
    <n v="15174"/>
    <n v="0"/>
    <s v="Y"/>
    <s v="No"/>
    <n v="13"/>
    <n v="3"/>
    <n v="4"/>
    <n v="80"/>
    <n v="0"/>
    <n v="5"/>
    <n v="0"/>
    <n v="3"/>
    <n v="4"/>
    <n v="2"/>
    <n v="1"/>
    <n v="1"/>
    <x v="2"/>
    <x v="1"/>
  </r>
  <r>
    <n v="20"/>
    <s v="Yes"/>
    <s v="Travel_Rarely"/>
    <n v="1362"/>
    <s v="Research &amp; Development"/>
    <n v="10"/>
    <n v="1"/>
    <s v="Medical"/>
    <n v="1"/>
    <n v="701"/>
    <n v="4"/>
    <s v="Male"/>
    <n v="32"/>
    <n v="3"/>
    <x v="1"/>
    <s v="Research Scientist"/>
    <n v="3"/>
    <s v="Single"/>
    <x v="495"/>
    <n v="26999"/>
    <n v="1"/>
    <s v="Y"/>
    <s v="Yes"/>
    <n v="11"/>
    <n v="3"/>
    <n v="4"/>
    <n v="80"/>
    <n v="0"/>
    <n v="1"/>
    <n v="5"/>
    <n v="3"/>
    <n v="1"/>
    <n v="0"/>
    <n v="1"/>
    <n v="1"/>
    <x v="4"/>
    <x v="1"/>
  </r>
  <r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x v="1"/>
    <s v="Research Scientist"/>
    <n v="1"/>
    <s v="Single"/>
    <x v="496"/>
    <n v="3164"/>
    <n v="1"/>
    <s v="Y"/>
    <s v="Yes"/>
    <n v="11"/>
    <n v="3"/>
    <n v="1"/>
    <n v="80"/>
    <n v="0"/>
    <n v="10"/>
    <n v="3"/>
    <n v="3"/>
    <n v="10"/>
    <n v="8"/>
    <n v="9"/>
    <n v="7"/>
    <x v="2"/>
    <x v="0"/>
  </r>
  <r>
    <n v="35"/>
    <s v="No"/>
    <s v="Non-Travel"/>
    <n v="727"/>
    <s v="Research &amp; Development"/>
    <n v="3"/>
    <n v="3"/>
    <s v="Life Sciences"/>
    <n v="1"/>
    <n v="704"/>
    <n v="3"/>
    <s v="Male"/>
    <n v="41"/>
    <n v="2"/>
    <x v="1"/>
    <s v="Laboratory Technician"/>
    <n v="3"/>
    <s v="Married"/>
    <x v="497"/>
    <n v="16900"/>
    <n v="1"/>
    <s v="Y"/>
    <s v="No"/>
    <n v="18"/>
    <n v="3"/>
    <n v="3"/>
    <n v="80"/>
    <n v="2"/>
    <n v="1"/>
    <n v="3"/>
    <n v="3"/>
    <n v="1"/>
    <n v="0"/>
    <n v="0"/>
    <n v="0"/>
    <x v="2"/>
    <x v="1"/>
  </r>
  <r>
    <n v="23"/>
    <s v="No"/>
    <s v="Travel_Rarely"/>
    <n v="885"/>
    <s v="Research &amp; Development"/>
    <n v="4"/>
    <n v="3"/>
    <s v="Medical"/>
    <n v="1"/>
    <n v="705"/>
    <n v="1"/>
    <s v="Male"/>
    <n v="58"/>
    <n v="4"/>
    <x v="1"/>
    <s v="Research Scientist"/>
    <n v="1"/>
    <s v="Married"/>
    <x v="498"/>
    <n v="8544"/>
    <n v="2"/>
    <s v="Y"/>
    <s v="No"/>
    <n v="16"/>
    <n v="3"/>
    <n v="1"/>
    <n v="80"/>
    <n v="1"/>
    <n v="5"/>
    <n v="3"/>
    <n v="4"/>
    <n v="3"/>
    <n v="2"/>
    <n v="0"/>
    <n v="2"/>
    <x v="4"/>
    <x v="1"/>
  </r>
  <r>
    <n v="25"/>
    <s v="No"/>
    <s v="Travel_Rarely"/>
    <n v="810"/>
    <s v="Sales"/>
    <n v="8"/>
    <n v="3"/>
    <s v="Life Sciences"/>
    <n v="1"/>
    <n v="707"/>
    <n v="4"/>
    <s v="Male"/>
    <n v="57"/>
    <n v="4"/>
    <x v="0"/>
    <s v="Sales Executive"/>
    <n v="2"/>
    <s v="Married"/>
    <x v="499"/>
    <n v="15678"/>
    <n v="0"/>
    <s v="Y"/>
    <s v="No"/>
    <n v="22"/>
    <n v="4"/>
    <n v="3"/>
    <n v="80"/>
    <n v="1"/>
    <n v="4"/>
    <n v="4"/>
    <n v="3"/>
    <n v="3"/>
    <n v="2"/>
    <n v="1"/>
    <n v="2"/>
    <x v="4"/>
    <x v="0"/>
  </r>
  <r>
    <n v="38"/>
    <s v="No"/>
    <s v="Travel_Rarely"/>
    <n v="243"/>
    <s v="Sales"/>
    <n v="7"/>
    <n v="4"/>
    <s v="Marketing"/>
    <n v="1"/>
    <n v="709"/>
    <n v="4"/>
    <s v="Female"/>
    <n v="46"/>
    <n v="2"/>
    <x v="0"/>
    <s v="Sales Executive"/>
    <n v="4"/>
    <s v="Single"/>
    <x v="500"/>
    <n v="7791"/>
    <n v="0"/>
    <s v="Y"/>
    <s v="No"/>
    <n v="20"/>
    <n v="4"/>
    <n v="1"/>
    <n v="80"/>
    <n v="0"/>
    <n v="8"/>
    <n v="2"/>
    <n v="3"/>
    <n v="7"/>
    <n v="7"/>
    <n v="0"/>
    <n v="5"/>
    <x v="0"/>
    <x v="0"/>
  </r>
  <r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x v="1"/>
    <s v="Research Scientist"/>
    <n v="4"/>
    <s v="Divorced"/>
    <x v="143"/>
    <n v="18959"/>
    <n v="1"/>
    <s v="Y"/>
    <s v="No"/>
    <n v="18"/>
    <n v="3"/>
    <n v="4"/>
    <n v="80"/>
    <n v="1"/>
    <n v="10"/>
    <n v="5"/>
    <n v="3"/>
    <n v="10"/>
    <n v="7"/>
    <n v="2"/>
    <n v="8"/>
    <x v="2"/>
    <x v="1"/>
  </r>
  <r>
    <n v="48"/>
    <s v="No"/>
    <s v="Travel_Rarely"/>
    <n v="817"/>
    <s v="Sales"/>
    <n v="2"/>
    <n v="1"/>
    <s v="Marketing"/>
    <n v="1"/>
    <n v="712"/>
    <n v="2"/>
    <s v="Male"/>
    <n v="56"/>
    <n v="4"/>
    <x v="0"/>
    <s v="Sales Executive"/>
    <n v="2"/>
    <s v="Married"/>
    <x v="501"/>
    <n v="18597"/>
    <n v="3"/>
    <s v="Y"/>
    <s v="No"/>
    <n v="12"/>
    <n v="3"/>
    <n v="4"/>
    <n v="80"/>
    <n v="0"/>
    <n v="12"/>
    <n v="3"/>
    <n v="3"/>
    <n v="2"/>
    <n v="2"/>
    <n v="2"/>
    <n v="2"/>
    <x v="1"/>
    <x v="2"/>
  </r>
  <r>
    <n v="27"/>
    <s v="No"/>
    <s v="Travel_Frequently"/>
    <n v="1410"/>
    <s v="Sales"/>
    <n v="3"/>
    <n v="1"/>
    <s v="Medical"/>
    <n v="1"/>
    <n v="714"/>
    <n v="4"/>
    <s v="Female"/>
    <n v="71"/>
    <n v="4"/>
    <x v="0"/>
    <s v="Sales Executive"/>
    <n v="4"/>
    <s v="Divorced"/>
    <x v="502"/>
    <n v="16673"/>
    <n v="1"/>
    <s v="Y"/>
    <s v="Yes"/>
    <n v="20"/>
    <n v="4"/>
    <n v="2"/>
    <n v="80"/>
    <n v="2"/>
    <n v="6"/>
    <n v="3"/>
    <n v="3"/>
    <n v="6"/>
    <n v="5"/>
    <n v="0"/>
    <n v="4"/>
    <x v="2"/>
    <x v="0"/>
  </r>
  <r>
    <n v="37"/>
    <s v="No"/>
    <s v="Travel_Rarely"/>
    <n v="1225"/>
    <s v="Research &amp; Development"/>
    <n v="10"/>
    <n v="2"/>
    <s v="Life Sciences"/>
    <n v="1"/>
    <n v="715"/>
    <n v="4"/>
    <s v="Male"/>
    <n v="80"/>
    <n v="4"/>
    <x v="1"/>
    <s v="Research Scientist"/>
    <n v="4"/>
    <s v="Single"/>
    <x v="503"/>
    <n v="15232"/>
    <n v="3"/>
    <s v="Y"/>
    <s v="No"/>
    <n v="17"/>
    <n v="3"/>
    <n v="1"/>
    <n v="80"/>
    <n v="0"/>
    <n v="4"/>
    <n v="2"/>
    <n v="3"/>
    <n v="1"/>
    <n v="0"/>
    <n v="0"/>
    <n v="0"/>
    <x v="0"/>
    <x v="0"/>
  </r>
  <r>
    <n v="50"/>
    <s v="No"/>
    <s v="Travel_Rarely"/>
    <n v="1207"/>
    <s v="Research &amp; Development"/>
    <n v="28"/>
    <n v="1"/>
    <s v="Medical"/>
    <n v="1"/>
    <n v="716"/>
    <n v="4"/>
    <s v="Male"/>
    <n v="74"/>
    <n v="4"/>
    <x v="1"/>
    <s v="Laboratory Technician"/>
    <n v="3"/>
    <s v="Married"/>
    <x v="504"/>
    <n v="3297"/>
    <n v="1"/>
    <s v="Y"/>
    <s v="Yes"/>
    <n v="11"/>
    <n v="3"/>
    <n v="3"/>
    <n v="80"/>
    <n v="3"/>
    <n v="20"/>
    <n v="3"/>
    <n v="3"/>
    <n v="20"/>
    <n v="8"/>
    <n v="3"/>
    <n v="8"/>
    <x v="1"/>
    <x v="0"/>
  </r>
  <r>
    <n v="34"/>
    <s v="No"/>
    <s v="Travel_Rarely"/>
    <n v="1442"/>
    <s v="Research &amp; Development"/>
    <n v="9"/>
    <n v="3"/>
    <s v="Medical"/>
    <n v="1"/>
    <n v="717"/>
    <n v="4"/>
    <s v="Female"/>
    <n v="46"/>
    <n v="2"/>
    <x v="2"/>
    <s v="Healthcare Representative"/>
    <n v="2"/>
    <s v="Single"/>
    <x v="505"/>
    <n v="17654"/>
    <n v="1"/>
    <s v="Y"/>
    <s v="No"/>
    <n v="14"/>
    <n v="3"/>
    <n v="2"/>
    <n v="80"/>
    <n v="0"/>
    <n v="9"/>
    <n v="3"/>
    <n v="4"/>
    <n v="8"/>
    <n v="7"/>
    <n v="7"/>
    <n v="7"/>
    <x v="2"/>
    <x v="2"/>
  </r>
  <r>
    <n v="24"/>
    <s v="Yes"/>
    <s v="Travel_Rarely"/>
    <n v="693"/>
    <s v="Sales"/>
    <n v="3"/>
    <n v="2"/>
    <s v="Life Sciences"/>
    <n v="1"/>
    <n v="720"/>
    <n v="1"/>
    <s v="Female"/>
    <n v="65"/>
    <n v="3"/>
    <x v="0"/>
    <s v="Sales Executive"/>
    <n v="3"/>
    <s v="Single"/>
    <x v="506"/>
    <n v="24785"/>
    <n v="9"/>
    <s v="Y"/>
    <s v="No"/>
    <n v="14"/>
    <n v="3"/>
    <n v="1"/>
    <n v="80"/>
    <n v="0"/>
    <n v="4"/>
    <n v="3"/>
    <n v="3"/>
    <n v="2"/>
    <n v="2"/>
    <n v="2"/>
    <n v="0"/>
    <x v="4"/>
    <x v="0"/>
  </r>
  <r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x v="0"/>
    <s v="Healthcare Representative"/>
    <n v="3"/>
    <s v="Single"/>
    <x v="507"/>
    <n v="20978"/>
    <n v="1"/>
    <s v="Y"/>
    <s v="No"/>
    <n v="11"/>
    <n v="3"/>
    <n v="1"/>
    <n v="80"/>
    <n v="0"/>
    <n v="20"/>
    <n v="4"/>
    <n v="3"/>
    <n v="20"/>
    <n v="7"/>
    <n v="11"/>
    <n v="10"/>
    <x v="0"/>
    <x v="0"/>
  </r>
  <r>
    <n v="32"/>
    <s v="No"/>
    <s v="Travel_Rarely"/>
    <n v="929"/>
    <s v="Sales"/>
    <n v="10"/>
    <n v="3"/>
    <s v="Marketing"/>
    <n v="1"/>
    <n v="722"/>
    <n v="4"/>
    <s v="Male"/>
    <n v="55"/>
    <n v="3"/>
    <x v="0"/>
    <s v="Sales Executive"/>
    <n v="4"/>
    <s v="Single"/>
    <x v="508"/>
    <n v="21703"/>
    <n v="1"/>
    <s v="Y"/>
    <s v="No"/>
    <n v="12"/>
    <n v="3"/>
    <n v="4"/>
    <n v="80"/>
    <n v="0"/>
    <n v="10"/>
    <n v="2"/>
    <n v="2"/>
    <n v="10"/>
    <n v="7"/>
    <n v="0"/>
    <n v="8"/>
    <x v="2"/>
    <x v="0"/>
  </r>
  <r>
    <n v="50"/>
    <s v="Yes"/>
    <s v="Travel_Frequently"/>
    <n v="562"/>
    <s v="Sales"/>
    <n v="8"/>
    <n v="2"/>
    <s v="Technical Degree"/>
    <n v="1"/>
    <n v="723"/>
    <n v="2"/>
    <s v="Male"/>
    <n v="50"/>
    <n v="3"/>
    <x v="0"/>
    <s v="Sales Executive"/>
    <n v="3"/>
    <s v="Married"/>
    <x v="509"/>
    <n v="23452"/>
    <n v="3"/>
    <s v="Y"/>
    <s v="Yes"/>
    <n v="14"/>
    <n v="3"/>
    <n v="1"/>
    <n v="80"/>
    <n v="1"/>
    <n v="18"/>
    <n v="4"/>
    <n v="3"/>
    <n v="4"/>
    <n v="3"/>
    <n v="1"/>
    <n v="3"/>
    <x v="1"/>
    <x v="0"/>
  </r>
  <r>
    <n v="38"/>
    <s v="No"/>
    <s v="Travel_Rarely"/>
    <n v="827"/>
    <s v="Research &amp; Development"/>
    <n v="1"/>
    <n v="4"/>
    <s v="Life Sciences"/>
    <n v="1"/>
    <n v="724"/>
    <n v="2"/>
    <s v="Female"/>
    <n v="33"/>
    <n v="4"/>
    <x v="0"/>
    <s v="Healthcare Representative"/>
    <n v="4"/>
    <s v="Single"/>
    <x v="510"/>
    <n v="19383"/>
    <n v="0"/>
    <s v="Y"/>
    <s v="No"/>
    <n v="13"/>
    <n v="3"/>
    <n v="3"/>
    <n v="80"/>
    <n v="0"/>
    <n v="10"/>
    <n v="4"/>
    <n v="2"/>
    <n v="9"/>
    <n v="7"/>
    <n v="1"/>
    <n v="8"/>
    <x v="0"/>
    <x v="2"/>
  </r>
  <r>
    <n v="27"/>
    <s v="No"/>
    <s v="Travel_Rarely"/>
    <n v="608"/>
    <s v="Research &amp; Development"/>
    <n v="1"/>
    <n v="2"/>
    <s v="Life Sciences"/>
    <n v="1"/>
    <n v="725"/>
    <n v="3"/>
    <s v="Female"/>
    <n v="68"/>
    <n v="3"/>
    <x v="2"/>
    <s v="Manufacturing Director"/>
    <n v="1"/>
    <s v="Married"/>
    <x v="511"/>
    <n v="6009"/>
    <n v="1"/>
    <s v="Y"/>
    <s v="No"/>
    <n v="11"/>
    <n v="3"/>
    <n v="4"/>
    <n v="80"/>
    <n v="0"/>
    <n v="9"/>
    <n v="3"/>
    <n v="3"/>
    <n v="9"/>
    <n v="7"/>
    <n v="0"/>
    <n v="7"/>
    <x v="2"/>
    <x v="2"/>
  </r>
  <r>
    <n v="32"/>
    <s v="No"/>
    <s v="Travel_Rarely"/>
    <n v="1018"/>
    <s v="Research &amp; Development"/>
    <n v="3"/>
    <n v="2"/>
    <s v="Life Sciences"/>
    <n v="1"/>
    <n v="727"/>
    <n v="3"/>
    <s v="Female"/>
    <n v="39"/>
    <n v="3"/>
    <x v="2"/>
    <s v="Research Director"/>
    <n v="4"/>
    <s v="Single"/>
    <x v="512"/>
    <n v="19373"/>
    <n v="3"/>
    <s v="Y"/>
    <s v="No"/>
    <n v="15"/>
    <n v="3"/>
    <n v="4"/>
    <n v="80"/>
    <n v="0"/>
    <n v="10"/>
    <n v="6"/>
    <n v="3"/>
    <n v="7"/>
    <n v="7"/>
    <n v="7"/>
    <n v="7"/>
    <x v="2"/>
    <x v="2"/>
  </r>
  <r>
    <n v="47"/>
    <s v="No"/>
    <s v="Travel_Rarely"/>
    <n v="703"/>
    <s v="Sales"/>
    <n v="14"/>
    <n v="4"/>
    <s v="Marketing"/>
    <n v="1"/>
    <n v="728"/>
    <n v="4"/>
    <s v="Male"/>
    <n v="42"/>
    <n v="3"/>
    <x v="0"/>
    <s v="Sales Executive"/>
    <n v="1"/>
    <s v="Single"/>
    <x v="513"/>
    <n v="11825"/>
    <n v="2"/>
    <s v="Y"/>
    <s v="No"/>
    <n v="12"/>
    <n v="3"/>
    <n v="4"/>
    <n v="80"/>
    <n v="0"/>
    <n v="20"/>
    <n v="2"/>
    <n v="3"/>
    <n v="7"/>
    <n v="7"/>
    <n v="1"/>
    <n v="7"/>
    <x v="1"/>
    <x v="0"/>
  </r>
  <r>
    <n v="40"/>
    <s v="No"/>
    <s v="Travel_Frequently"/>
    <n v="580"/>
    <s v="Sales"/>
    <n v="5"/>
    <n v="4"/>
    <s v="Life Sciences"/>
    <n v="1"/>
    <n v="729"/>
    <n v="4"/>
    <s v="Male"/>
    <n v="48"/>
    <n v="2"/>
    <x v="2"/>
    <s v="Sales Executive"/>
    <n v="1"/>
    <s v="Married"/>
    <x v="514"/>
    <n v="23772"/>
    <n v="5"/>
    <s v="Y"/>
    <s v="Yes"/>
    <n v="21"/>
    <n v="4"/>
    <n v="3"/>
    <n v="80"/>
    <n v="1"/>
    <n v="20"/>
    <n v="2"/>
    <n v="3"/>
    <n v="18"/>
    <n v="13"/>
    <n v="1"/>
    <n v="12"/>
    <x v="0"/>
    <x v="2"/>
  </r>
  <r>
    <n v="53"/>
    <s v="No"/>
    <s v="Travel_Rarely"/>
    <n v="970"/>
    <s v="Research &amp; Development"/>
    <n v="7"/>
    <n v="3"/>
    <s v="Life Sciences"/>
    <n v="1"/>
    <n v="730"/>
    <n v="3"/>
    <s v="Male"/>
    <n v="59"/>
    <n v="4"/>
    <x v="3"/>
    <s v="Research Director"/>
    <n v="3"/>
    <s v="Married"/>
    <x v="515"/>
    <n v="13514"/>
    <n v="3"/>
    <s v="Y"/>
    <s v="No"/>
    <n v="19"/>
    <n v="3"/>
    <n v="3"/>
    <n v="80"/>
    <n v="0"/>
    <n v="32"/>
    <n v="3"/>
    <n v="3"/>
    <n v="5"/>
    <n v="1"/>
    <n v="1"/>
    <n v="3"/>
    <x v="1"/>
    <x v="3"/>
  </r>
  <r>
    <n v="41"/>
    <s v="No"/>
    <s v="Travel_Rarely"/>
    <n v="427"/>
    <s v="Human Resources"/>
    <n v="10"/>
    <n v="4"/>
    <s v="Human Resources"/>
    <n v="1"/>
    <n v="731"/>
    <n v="2"/>
    <s v="Male"/>
    <n v="73"/>
    <n v="2"/>
    <x v="4"/>
    <s v="Manager"/>
    <n v="4"/>
    <s v="Divorced"/>
    <x v="516"/>
    <n v="8861"/>
    <n v="3"/>
    <s v="Y"/>
    <s v="No"/>
    <n v="15"/>
    <n v="3"/>
    <n v="2"/>
    <n v="80"/>
    <n v="3"/>
    <n v="23"/>
    <n v="2"/>
    <n v="2"/>
    <n v="21"/>
    <n v="6"/>
    <n v="12"/>
    <n v="6"/>
    <x v="0"/>
    <x v="3"/>
  </r>
  <r>
    <n v="60"/>
    <s v="No"/>
    <s v="Travel_Rarely"/>
    <n v="1179"/>
    <s v="Sales"/>
    <n v="16"/>
    <n v="4"/>
    <s v="Marketing"/>
    <n v="1"/>
    <n v="732"/>
    <n v="1"/>
    <s v="Male"/>
    <n v="84"/>
    <n v="3"/>
    <x v="0"/>
    <s v="Sales Executive"/>
    <n v="1"/>
    <s v="Single"/>
    <x v="517"/>
    <n v="11924"/>
    <n v="8"/>
    <s v="Y"/>
    <s v="No"/>
    <n v="14"/>
    <n v="3"/>
    <n v="4"/>
    <n v="80"/>
    <n v="0"/>
    <n v="10"/>
    <n v="1"/>
    <n v="3"/>
    <n v="2"/>
    <n v="2"/>
    <n v="2"/>
    <n v="2"/>
    <x v="3"/>
    <x v="0"/>
  </r>
  <r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x v="2"/>
    <s v="Manufacturing Director"/>
    <n v="1"/>
    <s v="Divorced"/>
    <x v="518"/>
    <n v="4809"/>
    <n v="1"/>
    <s v="Y"/>
    <s v="No"/>
    <n v="21"/>
    <n v="4"/>
    <n v="3"/>
    <n v="80"/>
    <n v="2"/>
    <n v="9"/>
    <n v="4"/>
    <n v="2"/>
    <n v="9"/>
    <n v="7"/>
    <n v="1"/>
    <n v="7"/>
    <x v="2"/>
    <x v="2"/>
  </r>
  <r>
    <n v="41"/>
    <s v="No"/>
    <s v="Travel_Rarely"/>
    <n v="314"/>
    <s v="Human Resources"/>
    <n v="1"/>
    <n v="3"/>
    <s v="Human Resources"/>
    <n v="1"/>
    <n v="734"/>
    <n v="4"/>
    <s v="Male"/>
    <n v="59"/>
    <n v="2"/>
    <x v="4"/>
    <s v="Manager"/>
    <n v="3"/>
    <s v="Married"/>
    <x v="519"/>
    <n v="19562"/>
    <n v="1"/>
    <s v="Y"/>
    <s v="No"/>
    <n v="12"/>
    <n v="3"/>
    <n v="2"/>
    <n v="80"/>
    <n v="1"/>
    <n v="22"/>
    <n v="3"/>
    <n v="3"/>
    <n v="22"/>
    <n v="7"/>
    <n v="2"/>
    <n v="10"/>
    <x v="0"/>
    <x v="3"/>
  </r>
  <r>
    <n v="50"/>
    <s v="No"/>
    <s v="Travel_Rarely"/>
    <n v="316"/>
    <s v="Sales"/>
    <n v="8"/>
    <n v="4"/>
    <s v="Marketing"/>
    <n v="1"/>
    <n v="738"/>
    <n v="4"/>
    <s v="Male"/>
    <n v="54"/>
    <n v="3"/>
    <x v="1"/>
    <s v="Sales Representative"/>
    <n v="2"/>
    <s v="Married"/>
    <x v="520"/>
    <n v="9983"/>
    <n v="7"/>
    <s v="Y"/>
    <s v="No"/>
    <n v="15"/>
    <n v="3"/>
    <n v="4"/>
    <n v="80"/>
    <n v="1"/>
    <n v="4"/>
    <n v="2"/>
    <n v="3"/>
    <n v="2"/>
    <n v="2"/>
    <n v="2"/>
    <n v="2"/>
    <x v="1"/>
    <x v="0"/>
  </r>
  <r>
    <n v="28"/>
    <s v="Yes"/>
    <s v="Travel_Rarely"/>
    <n v="654"/>
    <s v="Research &amp; Development"/>
    <n v="1"/>
    <n v="2"/>
    <s v="Life Sciences"/>
    <n v="1"/>
    <n v="741"/>
    <n v="1"/>
    <s v="Female"/>
    <n v="67"/>
    <n v="1"/>
    <x v="1"/>
    <s v="Research Scientist"/>
    <n v="2"/>
    <s v="Single"/>
    <x v="521"/>
    <n v="3872"/>
    <n v="7"/>
    <s v="Y"/>
    <s v="Yes"/>
    <n v="13"/>
    <n v="3"/>
    <n v="4"/>
    <n v="80"/>
    <n v="0"/>
    <n v="10"/>
    <n v="4"/>
    <n v="3"/>
    <n v="7"/>
    <n v="7"/>
    <n v="3"/>
    <n v="7"/>
    <x v="2"/>
    <x v="1"/>
  </r>
  <r>
    <n v="36"/>
    <s v="No"/>
    <s v="Non-Travel"/>
    <n v="427"/>
    <s v="Research &amp; Development"/>
    <n v="8"/>
    <n v="3"/>
    <s v="Life Sciences"/>
    <n v="1"/>
    <n v="742"/>
    <n v="1"/>
    <s v="Female"/>
    <n v="63"/>
    <n v="4"/>
    <x v="2"/>
    <s v="Research Director"/>
    <n v="1"/>
    <s v="Married"/>
    <x v="522"/>
    <n v="20335"/>
    <n v="9"/>
    <s v="Y"/>
    <s v="No"/>
    <n v="14"/>
    <n v="3"/>
    <n v="1"/>
    <n v="80"/>
    <n v="1"/>
    <n v="10"/>
    <n v="2"/>
    <n v="3"/>
    <n v="8"/>
    <n v="7"/>
    <n v="0"/>
    <n v="5"/>
    <x v="0"/>
    <x v="2"/>
  </r>
  <r>
    <n v="38"/>
    <s v="No"/>
    <s v="Travel_Rarely"/>
    <n v="168"/>
    <s v="Research &amp; Development"/>
    <n v="1"/>
    <n v="3"/>
    <s v="Life Sciences"/>
    <n v="1"/>
    <n v="743"/>
    <n v="3"/>
    <s v="Female"/>
    <n v="81"/>
    <n v="3"/>
    <x v="2"/>
    <s v="Manufacturing Director"/>
    <n v="3"/>
    <s v="Single"/>
    <x v="523"/>
    <n v="15397"/>
    <n v="4"/>
    <s v="Y"/>
    <s v="Yes"/>
    <n v="14"/>
    <n v="3"/>
    <n v="4"/>
    <n v="80"/>
    <n v="0"/>
    <n v="10"/>
    <n v="4"/>
    <n v="4"/>
    <n v="1"/>
    <n v="0"/>
    <n v="0"/>
    <n v="0"/>
    <x v="0"/>
    <x v="2"/>
  </r>
  <r>
    <n v="44"/>
    <s v="No"/>
    <s v="Non-Travel"/>
    <n v="381"/>
    <s v="Research &amp; Development"/>
    <n v="24"/>
    <n v="3"/>
    <s v="Medical"/>
    <n v="1"/>
    <n v="744"/>
    <n v="1"/>
    <s v="Male"/>
    <n v="49"/>
    <n v="1"/>
    <x v="1"/>
    <s v="Laboratory Technician"/>
    <n v="3"/>
    <s v="Single"/>
    <x v="524"/>
    <n v="2104"/>
    <n v="2"/>
    <s v="Y"/>
    <s v="No"/>
    <n v="14"/>
    <n v="3"/>
    <n v="3"/>
    <n v="80"/>
    <n v="0"/>
    <n v="9"/>
    <n v="5"/>
    <n v="3"/>
    <n v="5"/>
    <n v="2"/>
    <n v="1"/>
    <n v="4"/>
    <x v="0"/>
    <x v="0"/>
  </r>
  <r>
    <n v="47"/>
    <s v="No"/>
    <s v="Travel_Frequently"/>
    <n v="217"/>
    <s v="Sales"/>
    <n v="3"/>
    <n v="3"/>
    <s v="Medical"/>
    <n v="1"/>
    <n v="746"/>
    <n v="4"/>
    <s v="Female"/>
    <n v="49"/>
    <n v="3"/>
    <x v="3"/>
    <s v="Sales Executive"/>
    <n v="3"/>
    <s v="Divorced"/>
    <x v="525"/>
    <n v="10225"/>
    <n v="9"/>
    <s v="Y"/>
    <s v="Yes"/>
    <n v="12"/>
    <n v="3"/>
    <n v="4"/>
    <n v="80"/>
    <n v="2"/>
    <n v="28"/>
    <n v="2"/>
    <n v="2"/>
    <n v="22"/>
    <n v="2"/>
    <n v="11"/>
    <n v="13"/>
    <x v="1"/>
    <x v="3"/>
  </r>
  <r>
    <n v="30"/>
    <s v="No"/>
    <s v="Travel_Rarely"/>
    <n v="501"/>
    <s v="Sales"/>
    <n v="27"/>
    <n v="5"/>
    <s v="Marketing"/>
    <n v="1"/>
    <n v="747"/>
    <n v="3"/>
    <s v="Male"/>
    <n v="99"/>
    <n v="3"/>
    <x v="0"/>
    <s v="Sales Executive"/>
    <n v="4"/>
    <s v="Divorced"/>
    <x v="367"/>
    <n v="25275"/>
    <n v="7"/>
    <s v="Y"/>
    <s v="No"/>
    <n v="23"/>
    <n v="4"/>
    <n v="4"/>
    <n v="80"/>
    <n v="1"/>
    <n v="10"/>
    <n v="2"/>
    <n v="2"/>
    <n v="8"/>
    <n v="7"/>
    <n v="7"/>
    <n v="7"/>
    <x v="2"/>
    <x v="0"/>
  </r>
  <r>
    <n v="29"/>
    <s v="No"/>
    <s v="Travel_Rarely"/>
    <n v="1396"/>
    <s v="Sales"/>
    <n v="10"/>
    <n v="3"/>
    <s v="Life Sciences"/>
    <n v="1"/>
    <n v="749"/>
    <n v="3"/>
    <s v="Male"/>
    <n v="99"/>
    <n v="3"/>
    <x v="1"/>
    <s v="Sales Representative"/>
    <n v="3"/>
    <s v="Single"/>
    <x v="526"/>
    <n v="2755"/>
    <n v="1"/>
    <s v="Y"/>
    <s v="No"/>
    <n v="11"/>
    <n v="3"/>
    <n v="3"/>
    <n v="80"/>
    <n v="0"/>
    <n v="1"/>
    <n v="6"/>
    <n v="3"/>
    <n v="1"/>
    <n v="0"/>
    <n v="0"/>
    <n v="0"/>
    <x v="2"/>
    <x v="1"/>
  </r>
  <r>
    <n v="42"/>
    <s v="Yes"/>
    <s v="Travel_Frequently"/>
    <n v="933"/>
    <s v="Research &amp; Development"/>
    <n v="19"/>
    <n v="3"/>
    <s v="Medical"/>
    <n v="1"/>
    <n v="752"/>
    <n v="3"/>
    <s v="Male"/>
    <n v="57"/>
    <n v="4"/>
    <x v="1"/>
    <s v="Research Scientist"/>
    <n v="3"/>
    <s v="Divorced"/>
    <x v="527"/>
    <n v="20366"/>
    <n v="6"/>
    <s v="Y"/>
    <s v="Yes"/>
    <n v="12"/>
    <n v="3"/>
    <n v="4"/>
    <n v="80"/>
    <n v="0"/>
    <n v="7"/>
    <n v="2"/>
    <n v="3"/>
    <n v="2"/>
    <n v="2"/>
    <n v="2"/>
    <n v="2"/>
    <x v="0"/>
    <x v="1"/>
  </r>
  <r>
    <n v="43"/>
    <s v="No"/>
    <s v="Travel_Frequently"/>
    <n v="775"/>
    <s v="Sales"/>
    <n v="15"/>
    <n v="3"/>
    <s v="Life Sciences"/>
    <n v="1"/>
    <n v="754"/>
    <n v="4"/>
    <s v="Male"/>
    <n v="47"/>
    <n v="2"/>
    <x v="0"/>
    <s v="Sales Executive"/>
    <n v="4"/>
    <s v="Married"/>
    <x v="197"/>
    <n v="23683"/>
    <n v="3"/>
    <s v="Y"/>
    <s v="No"/>
    <n v="18"/>
    <n v="3"/>
    <n v="3"/>
    <n v="80"/>
    <n v="1"/>
    <n v="7"/>
    <n v="5"/>
    <n v="3"/>
    <n v="2"/>
    <n v="2"/>
    <n v="2"/>
    <n v="2"/>
    <x v="0"/>
    <x v="0"/>
  </r>
  <r>
    <n v="34"/>
    <s v="No"/>
    <s v="Travel_Rarely"/>
    <n v="970"/>
    <s v="Research &amp; Development"/>
    <n v="8"/>
    <n v="2"/>
    <s v="Medical"/>
    <n v="1"/>
    <n v="757"/>
    <n v="2"/>
    <s v="Female"/>
    <n v="96"/>
    <n v="3"/>
    <x v="0"/>
    <s v="Healthcare Representative"/>
    <n v="3"/>
    <s v="Single"/>
    <x v="528"/>
    <n v="7360"/>
    <n v="3"/>
    <s v="Y"/>
    <s v="No"/>
    <n v="11"/>
    <n v="3"/>
    <n v="4"/>
    <n v="80"/>
    <n v="0"/>
    <n v="10"/>
    <n v="2"/>
    <n v="3"/>
    <n v="5"/>
    <n v="1"/>
    <n v="4"/>
    <n v="3"/>
    <x v="2"/>
    <x v="0"/>
  </r>
  <r>
    <n v="23"/>
    <s v="No"/>
    <s v="Travel_Rarely"/>
    <n v="650"/>
    <s v="Research &amp; Development"/>
    <n v="9"/>
    <n v="1"/>
    <s v="Medical"/>
    <n v="1"/>
    <n v="758"/>
    <n v="2"/>
    <s v="Male"/>
    <n v="37"/>
    <n v="3"/>
    <x v="1"/>
    <s v="Laboratory Technician"/>
    <n v="1"/>
    <s v="Married"/>
    <x v="172"/>
    <n v="4344"/>
    <n v="1"/>
    <s v="Y"/>
    <s v="No"/>
    <n v="14"/>
    <n v="3"/>
    <n v="4"/>
    <n v="80"/>
    <n v="1"/>
    <n v="5"/>
    <n v="2"/>
    <n v="4"/>
    <n v="4"/>
    <n v="3"/>
    <n v="0"/>
    <n v="2"/>
    <x v="4"/>
    <x v="1"/>
  </r>
  <r>
    <n v="39"/>
    <s v="No"/>
    <s v="Travel_Rarely"/>
    <n v="141"/>
    <s v="Human Resources"/>
    <n v="3"/>
    <n v="3"/>
    <s v="Human Resources"/>
    <n v="1"/>
    <n v="760"/>
    <n v="3"/>
    <s v="Female"/>
    <n v="44"/>
    <n v="4"/>
    <x v="0"/>
    <s v="Human Resources"/>
    <n v="2"/>
    <s v="Married"/>
    <x v="529"/>
    <n v="18767"/>
    <n v="9"/>
    <s v="Y"/>
    <s v="No"/>
    <n v="15"/>
    <n v="3"/>
    <n v="3"/>
    <n v="80"/>
    <n v="1"/>
    <n v="12"/>
    <n v="3"/>
    <n v="1"/>
    <n v="8"/>
    <n v="3"/>
    <n v="3"/>
    <n v="6"/>
    <x v="0"/>
    <x v="0"/>
  </r>
  <r>
    <n v="56"/>
    <s v="No"/>
    <s v="Travel_Rarely"/>
    <n v="832"/>
    <s v="Research &amp; Development"/>
    <n v="9"/>
    <n v="3"/>
    <s v="Medical"/>
    <n v="1"/>
    <n v="762"/>
    <n v="3"/>
    <s v="Male"/>
    <n v="81"/>
    <n v="3"/>
    <x v="3"/>
    <s v="Healthcare Representative"/>
    <n v="4"/>
    <s v="Married"/>
    <x v="530"/>
    <n v="20420"/>
    <n v="7"/>
    <s v="Y"/>
    <s v="No"/>
    <n v="11"/>
    <n v="3"/>
    <n v="3"/>
    <n v="80"/>
    <n v="0"/>
    <n v="30"/>
    <n v="1"/>
    <n v="2"/>
    <n v="10"/>
    <n v="7"/>
    <n v="1"/>
    <n v="1"/>
    <x v="3"/>
    <x v="2"/>
  </r>
  <r>
    <n v="40"/>
    <s v="No"/>
    <s v="Travel_Rarely"/>
    <n v="804"/>
    <s v="Research &amp; Development"/>
    <n v="2"/>
    <n v="1"/>
    <s v="Medical"/>
    <n v="1"/>
    <n v="763"/>
    <n v="4"/>
    <s v="Female"/>
    <n v="86"/>
    <n v="2"/>
    <x v="1"/>
    <s v="Research Scientist"/>
    <n v="4"/>
    <s v="Single"/>
    <x v="531"/>
    <n v="22929"/>
    <n v="0"/>
    <s v="Y"/>
    <s v="Yes"/>
    <n v="20"/>
    <n v="4"/>
    <n v="4"/>
    <n v="80"/>
    <n v="0"/>
    <n v="5"/>
    <n v="2"/>
    <n v="2"/>
    <n v="4"/>
    <n v="2"/>
    <n v="2"/>
    <n v="3"/>
    <x v="0"/>
    <x v="1"/>
  </r>
  <r>
    <n v="27"/>
    <s v="No"/>
    <s v="Travel_Rarely"/>
    <n v="975"/>
    <s v="Research &amp; Development"/>
    <n v="7"/>
    <n v="3"/>
    <s v="Medical"/>
    <n v="1"/>
    <n v="764"/>
    <n v="4"/>
    <s v="Female"/>
    <n v="55"/>
    <n v="2"/>
    <x v="0"/>
    <s v="Healthcare Representative"/>
    <n v="1"/>
    <s v="Single"/>
    <x v="445"/>
    <n v="23398"/>
    <n v="8"/>
    <s v="Y"/>
    <s v="No"/>
    <n v="19"/>
    <n v="3"/>
    <n v="1"/>
    <n v="80"/>
    <n v="0"/>
    <n v="9"/>
    <n v="2"/>
    <n v="1"/>
    <n v="7"/>
    <n v="6"/>
    <n v="0"/>
    <n v="7"/>
    <x v="2"/>
    <x v="0"/>
  </r>
  <r>
    <n v="29"/>
    <s v="No"/>
    <s v="Travel_Rarely"/>
    <n v="1090"/>
    <s v="Sales"/>
    <n v="10"/>
    <n v="3"/>
    <s v="Marketing"/>
    <n v="1"/>
    <n v="766"/>
    <n v="4"/>
    <s v="Male"/>
    <n v="83"/>
    <n v="3"/>
    <x v="1"/>
    <s v="Sales Representative"/>
    <n v="2"/>
    <s v="Divorced"/>
    <x v="532"/>
    <n v="17967"/>
    <n v="1"/>
    <s v="Y"/>
    <s v="No"/>
    <n v="14"/>
    <n v="3"/>
    <n v="4"/>
    <n v="80"/>
    <n v="2"/>
    <n v="2"/>
    <n v="2"/>
    <n v="3"/>
    <n v="2"/>
    <n v="2"/>
    <n v="2"/>
    <n v="2"/>
    <x v="2"/>
    <x v="1"/>
  </r>
  <r>
    <n v="53"/>
    <s v="No"/>
    <s v="Travel_Rarely"/>
    <n v="346"/>
    <s v="Research &amp; Development"/>
    <n v="6"/>
    <n v="3"/>
    <s v="Life Sciences"/>
    <n v="1"/>
    <n v="769"/>
    <n v="4"/>
    <s v="Male"/>
    <n v="86"/>
    <n v="3"/>
    <x v="0"/>
    <s v="Laboratory Technician"/>
    <n v="4"/>
    <s v="Single"/>
    <x v="533"/>
    <n v="10919"/>
    <n v="2"/>
    <s v="Y"/>
    <s v="No"/>
    <n v="17"/>
    <n v="3"/>
    <n v="4"/>
    <n v="80"/>
    <n v="0"/>
    <n v="19"/>
    <n v="4"/>
    <n v="3"/>
    <n v="2"/>
    <n v="2"/>
    <n v="2"/>
    <n v="2"/>
    <x v="1"/>
    <x v="1"/>
  </r>
  <r>
    <n v="35"/>
    <s v="No"/>
    <s v="Non-Travel"/>
    <n v="1225"/>
    <s v="Research &amp; Development"/>
    <n v="2"/>
    <n v="4"/>
    <s v="Life Sciences"/>
    <n v="1"/>
    <n v="771"/>
    <n v="4"/>
    <s v="Female"/>
    <n v="61"/>
    <n v="3"/>
    <x v="0"/>
    <s v="Healthcare Representative"/>
    <n v="1"/>
    <s v="Divorced"/>
    <x v="534"/>
    <n v="4761"/>
    <n v="2"/>
    <s v="Y"/>
    <s v="No"/>
    <n v="11"/>
    <n v="3"/>
    <n v="1"/>
    <n v="80"/>
    <n v="1"/>
    <n v="16"/>
    <n v="2"/>
    <n v="4"/>
    <n v="1"/>
    <n v="0"/>
    <n v="0"/>
    <n v="0"/>
    <x v="2"/>
    <x v="0"/>
  </r>
  <r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x v="0"/>
    <s v="Laboratory Technician"/>
    <n v="4"/>
    <s v="Married"/>
    <x v="535"/>
    <n v="21146"/>
    <n v="1"/>
    <s v="Y"/>
    <s v="No"/>
    <n v="15"/>
    <n v="3"/>
    <n v="4"/>
    <n v="80"/>
    <n v="2"/>
    <n v="10"/>
    <n v="2"/>
    <n v="3"/>
    <n v="10"/>
    <n v="8"/>
    <n v="4"/>
    <n v="7"/>
    <x v="2"/>
    <x v="0"/>
  </r>
  <r>
    <n v="38"/>
    <s v="No"/>
    <s v="Travel_Rarely"/>
    <n v="268"/>
    <s v="Research &amp; Development"/>
    <n v="2"/>
    <n v="5"/>
    <s v="Medical"/>
    <n v="1"/>
    <n v="773"/>
    <n v="4"/>
    <s v="Male"/>
    <n v="92"/>
    <n v="3"/>
    <x v="1"/>
    <s v="Research Scientist"/>
    <n v="3"/>
    <s v="Married"/>
    <x v="536"/>
    <n v="20471"/>
    <n v="6"/>
    <s v="Y"/>
    <s v="Yes"/>
    <n v="13"/>
    <n v="3"/>
    <n v="2"/>
    <n v="80"/>
    <n v="1"/>
    <n v="6"/>
    <n v="0"/>
    <n v="1"/>
    <n v="1"/>
    <n v="0"/>
    <n v="0"/>
    <n v="1"/>
    <x v="0"/>
    <x v="0"/>
  </r>
  <r>
    <n v="34"/>
    <s v="No"/>
    <s v="Travel_Rarely"/>
    <n v="167"/>
    <s v="Research &amp; Development"/>
    <n v="8"/>
    <n v="5"/>
    <s v="Life Sciences"/>
    <n v="1"/>
    <n v="775"/>
    <n v="2"/>
    <s v="Female"/>
    <n v="32"/>
    <n v="3"/>
    <x v="0"/>
    <s v="Manufacturing Director"/>
    <n v="1"/>
    <s v="Divorced"/>
    <x v="537"/>
    <n v="4187"/>
    <n v="3"/>
    <s v="Y"/>
    <s v="No"/>
    <n v="14"/>
    <n v="3"/>
    <n v="3"/>
    <n v="80"/>
    <n v="1"/>
    <n v="7"/>
    <n v="3"/>
    <n v="3"/>
    <n v="0"/>
    <n v="0"/>
    <n v="0"/>
    <n v="0"/>
    <x v="2"/>
    <x v="0"/>
  </r>
  <r>
    <n v="52"/>
    <s v="No"/>
    <s v="Travel_Rarely"/>
    <n v="621"/>
    <s v="Sales"/>
    <n v="3"/>
    <n v="4"/>
    <s v="Marketing"/>
    <n v="1"/>
    <n v="776"/>
    <n v="3"/>
    <s v="Male"/>
    <n v="31"/>
    <n v="2"/>
    <x v="3"/>
    <s v="Manager"/>
    <n v="1"/>
    <s v="Married"/>
    <x v="538"/>
    <n v="10084"/>
    <n v="1"/>
    <s v="Y"/>
    <s v="No"/>
    <n v="11"/>
    <n v="3"/>
    <n v="1"/>
    <n v="80"/>
    <n v="0"/>
    <n v="34"/>
    <n v="3"/>
    <n v="4"/>
    <n v="34"/>
    <n v="6"/>
    <n v="1"/>
    <n v="16"/>
    <x v="1"/>
    <x v="3"/>
  </r>
  <r>
    <n v="33"/>
    <s v="Yes"/>
    <s v="Travel_Rarely"/>
    <n v="527"/>
    <s v="Research &amp; Development"/>
    <n v="1"/>
    <n v="4"/>
    <s v="Other"/>
    <n v="1"/>
    <n v="780"/>
    <n v="4"/>
    <s v="Male"/>
    <n v="63"/>
    <n v="3"/>
    <x v="1"/>
    <s v="Research Scientist"/>
    <n v="4"/>
    <s v="Single"/>
    <x v="539"/>
    <n v="5207"/>
    <n v="1"/>
    <s v="Y"/>
    <s v="Yes"/>
    <n v="13"/>
    <n v="3"/>
    <n v="3"/>
    <n v="80"/>
    <n v="0"/>
    <n v="10"/>
    <n v="2"/>
    <n v="2"/>
    <n v="10"/>
    <n v="9"/>
    <n v="7"/>
    <n v="8"/>
    <x v="2"/>
    <x v="1"/>
  </r>
  <r>
    <n v="25"/>
    <s v="No"/>
    <s v="Travel_Rarely"/>
    <n v="883"/>
    <s v="Sales"/>
    <n v="26"/>
    <n v="1"/>
    <s v="Medical"/>
    <n v="1"/>
    <n v="781"/>
    <n v="3"/>
    <s v="Female"/>
    <n v="32"/>
    <n v="3"/>
    <x v="0"/>
    <s v="Sales Executive"/>
    <n v="4"/>
    <s v="Single"/>
    <x v="540"/>
    <n v="22807"/>
    <n v="1"/>
    <s v="Y"/>
    <s v="No"/>
    <n v="23"/>
    <n v="4"/>
    <n v="2"/>
    <n v="80"/>
    <n v="0"/>
    <n v="6"/>
    <n v="5"/>
    <n v="2"/>
    <n v="6"/>
    <n v="5"/>
    <n v="1"/>
    <n v="4"/>
    <x v="4"/>
    <x v="0"/>
  </r>
  <r>
    <n v="45"/>
    <s v="No"/>
    <s v="Travel_Rarely"/>
    <n v="954"/>
    <s v="Sales"/>
    <n v="2"/>
    <n v="2"/>
    <s v="Technical Degree"/>
    <n v="1"/>
    <n v="783"/>
    <n v="2"/>
    <s v="Male"/>
    <n v="46"/>
    <n v="1"/>
    <x v="0"/>
    <s v="Sales Representative"/>
    <n v="3"/>
    <s v="Single"/>
    <x v="541"/>
    <n v="12388"/>
    <n v="0"/>
    <s v="Y"/>
    <s v="No"/>
    <n v="13"/>
    <n v="3"/>
    <n v="1"/>
    <n v="80"/>
    <n v="0"/>
    <n v="9"/>
    <n v="3"/>
    <n v="3"/>
    <n v="8"/>
    <n v="7"/>
    <n v="3"/>
    <n v="1"/>
    <x v="0"/>
    <x v="0"/>
  </r>
  <r>
    <n v="23"/>
    <s v="No"/>
    <s v="Travel_Rarely"/>
    <n v="310"/>
    <s v="Research &amp; Development"/>
    <n v="10"/>
    <n v="1"/>
    <s v="Medical"/>
    <n v="1"/>
    <n v="784"/>
    <n v="1"/>
    <s v="Male"/>
    <n v="79"/>
    <n v="4"/>
    <x v="1"/>
    <s v="Research Scientist"/>
    <n v="3"/>
    <s v="Single"/>
    <x v="542"/>
    <n v="19630"/>
    <n v="1"/>
    <s v="Y"/>
    <s v="No"/>
    <n v="18"/>
    <n v="3"/>
    <n v="4"/>
    <n v="80"/>
    <n v="0"/>
    <n v="2"/>
    <n v="3"/>
    <n v="3"/>
    <n v="2"/>
    <n v="2"/>
    <n v="0"/>
    <n v="2"/>
    <x v="4"/>
    <x v="0"/>
  </r>
  <r>
    <n v="47"/>
    <s v="Yes"/>
    <s v="Travel_Frequently"/>
    <n v="719"/>
    <s v="Sales"/>
    <n v="27"/>
    <n v="2"/>
    <s v="Life Sciences"/>
    <n v="1"/>
    <n v="785"/>
    <n v="2"/>
    <s v="Female"/>
    <n v="77"/>
    <n v="4"/>
    <x v="0"/>
    <s v="Sales Executive"/>
    <n v="3"/>
    <s v="Single"/>
    <x v="271"/>
    <n v="10339"/>
    <n v="4"/>
    <s v="Y"/>
    <s v="Yes"/>
    <n v="12"/>
    <n v="3"/>
    <n v="4"/>
    <n v="80"/>
    <n v="0"/>
    <n v="8"/>
    <n v="2"/>
    <n v="3"/>
    <n v="5"/>
    <n v="4"/>
    <n v="1"/>
    <n v="3"/>
    <x v="1"/>
    <x v="0"/>
  </r>
  <r>
    <n v="34"/>
    <s v="No"/>
    <s v="Travel_Rarely"/>
    <n v="304"/>
    <s v="Sales"/>
    <n v="2"/>
    <n v="3"/>
    <s v="Other"/>
    <n v="1"/>
    <n v="786"/>
    <n v="4"/>
    <s v="Male"/>
    <n v="60"/>
    <n v="3"/>
    <x v="0"/>
    <s v="Sales Executive"/>
    <n v="4"/>
    <s v="Single"/>
    <x v="543"/>
    <n v="18686"/>
    <n v="1"/>
    <s v="Y"/>
    <s v="No"/>
    <n v="22"/>
    <n v="4"/>
    <n v="3"/>
    <n v="80"/>
    <n v="0"/>
    <n v="6"/>
    <n v="5"/>
    <n v="3"/>
    <n v="6"/>
    <n v="5"/>
    <n v="1"/>
    <n v="4"/>
    <x v="2"/>
    <x v="0"/>
  </r>
  <r>
    <n v="55"/>
    <s v="Yes"/>
    <s v="Travel_Rarely"/>
    <n v="725"/>
    <s v="Research &amp; Development"/>
    <n v="2"/>
    <n v="3"/>
    <s v="Medical"/>
    <n v="1"/>
    <n v="787"/>
    <n v="4"/>
    <s v="Male"/>
    <n v="78"/>
    <n v="3"/>
    <x v="4"/>
    <s v="Manager"/>
    <n v="1"/>
    <s v="Married"/>
    <x v="544"/>
    <n v="21199"/>
    <n v="5"/>
    <s v="Y"/>
    <s v="Yes"/>
    <n v="13"/>
    <n v="3"/>
    <n v="4"/>
    <n v="80"/>
    <n v="1"/>
    <n v="24"/>
    <n v="2"/>
    <n v="3"/>
    <n v="5"/>
    <n v="2"/>
    <n v="1"/>
    <n v="4"/>
    <x v="1"/>
    <x v="3"/>
  </r>
  <r>
    <n v="36"/>
    <s v="No"/>
    <s v="Non-Travel"/>
    <n v="1434"/>
    <s v="Sales"/>
    <n v="8"/>
    <n v="4"/>
    <s v="Life Sciences"/>
    <n v="1"/>
    <n v="789"/>
    <n v="1"/>
    <s v="Male"/>
    <n v="76"/>
    <n v="2"/>
    <x v="2"/>
    <s v="Sales Executive"/>
    <n v="1"/>
    <s v="Single"/>
    <x v="545"/>
    <n v="14229"/>
    <n v="1"/>
    <s v="Y"/>
    <s v="No"/>
    <n v="15"/>
    <n v="3"/>
    <n v="2"/>
    <n v="80"/>
    <n v="0"/>
    <n v="10"/>
    <n v="1"/>
    <n v="3"/>
    <n v="10"/>
    <n v="7"/>
    <n v="0"/>
    <n v="9"/>
    <x v="0"/>
    <x v="2"/>
  </r>
  <r>
    <n v="52"/>
    <s v="No"/>
    <s v="Non-Travel"/>
    <n v="715"/>
    <s v="Research &amp; Development"/>
    <n v="19"/>
    <n v="4"/>
    <s v="Medical"/>
    <n v="1"/>
    <n v="791"/>
    <n v="4"/>
    <s v="Male"/>
    <n v="41"/>
    <n v="3"/>
    <x v="1"/>
    <s v="Research Scientist"/>
    <n v="4"/>
    <s v="Married"/>
    <x v="546"/>
    <n v="26589"/>
    <n v="0"/>
    <s v="Y"/>
    <s v="No"/>
    <n v="18"/>
    <n v="3"/>
    <n v="1"/>
    <n v="80"/>
    <n v="1"/>
    <n v="5"/>
    <n v="3"/>
    <n v="3"/>
    <n v="4"/>
    <n v="3"/>
    <n v="1"/>
    <n v="2"/>
    <x v="1"/>
    <x v="0"/>
  </r>
  <r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x v="1"/>
    <s v="Laboratory Technician"/>
    <n v="4"/>
    <s v="Divorced"/>
    <x v="547"/>
    <n v="5288"/>
    <n v="3"/>
    <s v="Y"/>
    <s v="No"/>
    <n v="14"/>
    <n v="3"/>
    <n v="1"/>
    <n v="80"/>
    <n v="1"/>
    <n v="5"/>
    <n v="2"/>
    <n v="3"/>
    <n v="2"/>
    <n v="2"/>
    <n v="2"/>
    <n v="0"/>
    <x v="2"/>
    <x v="0"/>
  </r>
  <r>
    <n v="29"/>
    <s v="No"/>
    <s v="Travel_Rarely"/>
    <n v="657"/>
    <s v="Research &amp; Development"/>
    <n v="27"/>
    <n v="3"/>
    <s v="Medical"/>
    <n v="1"/>
    <n v="793"/>
    <n v="2"/>
    <s v="Female"/>
    <n v="66"/>
    <n v="3"/>
    <x v="0"/>
    <s v="Healthcare Representative"/>
    <n v="3"/>
    <s v="Married"/>
    <x v="548"/>
    <n v="25549"/>
    <n v="4"/>
    <s v="Y"/>
    <s v="No"/>
    <n v="12"/>
    <n v="3"/>
    <n v="1"/>
    <n v="80"/>
    <n v="1"/>
    <n v="11"/>
    <n v="3"/>
    <n v="2"/>
    <n v="8"/>
    <n v="7"/>
    <n v="1"/>
    <n v="1"/>
    <x v="2"/>
    <x v="0"/>
  </r>
  <r>
    <n v="26"/>
    <s v="Yes"/>
    <s v="Travel_Rarely"/>
    <n v="1146"/>
    <s v="Sales"/>
    <n v="8"/>
    <n v="3"/>
    <s v="Technical Degree"/>
    <n v="1"/>
    <n v="796"/>
    <n v="4"/>
    <s v="Male"/>
    <n v="38"/>
    <n v="2"/>
    <x v="0"/>
    <s v="Sales Executive"/>
    <n v="1"/>
    <s v="Single"/>
    <x v="549"/>
    <n v="3064"/>
    <n v="6"/>
    <s v="Y"/>
    <s v="No"/>
    <n v="17"/>
    <n v="3"/>
    <n v="3"/>
    <n v="80"/>
    <n v="0"/>
    <n v="6"/>
    <n v="2"/>
    <n v="2"/>
    <n v="4"/>
    <n v="3"/>
    <n v="1"/>
    <n v="2"/>
    <x v="2"/>
    <x v="0"/>
  </r>
  <r>
    <n v="34"/>
    <s v="No"/>
    <s v="Travel_Rarely"/>
    <n v="182"/>
    <s v="Research &amp; Development"/>
    <n v="1"/>
    <n v="4"/>
    <s v="Life Sciences"/>
    <n v="1"/>
    <n v="797"/>
    <n v="2"/>
    <s v="Female"/>
    <n v="72"/>
    <n v="4"/>
    <x v="1"/>
    <s v="Research Scientist"/>
    <n v="4"/>
    <s v="Single"/>
    <x v="550"/>
    <n v="13551"/>
    <n v="2"/>
    <s v="Y"/>
    <s v="No"/>
    <n v="16"/>
    <n v="3"/>
    <n v="3"/>
    <n v="80"/>
    <n v="0"/>
    <n v="10"/>
    <n v="2"/>
    <n v="3"/>
    <n v="4"/>
    <n v="2"/>
    <n v="1"/>
    <n v="3"/>
    <x v="2"/>
    <x v="0"/>
  </r>
  <r>
    <n v="54"/>
    <s v="No"/>
    <s v="Travel_Rarely"/>
    <n v="376"/>
    <s v="Research &amp; Development"/>
    <n v="19"/>
    <n v="4"/>
    <s v="Medical"/>
    <n v="1"/>
    <n v="799"/>
    <n v="4"/>
    <s v="Female"/>
    <n v="95"/>
    <n v="3"/>
    <x v="0"/>
    <s v="Manufacturing Director"/>
    <n v="1"/>
    <s v="Divorced"/>
    <x v="551"/>
    <n v="22670"/>
    <n v="9"/>
    <s v="Y"/>
    <s v="Yes"/>
    <n v="11"/>
    <n v="3"/>
    <n v="2"/>
    <n v="80"/>
    <n v="2"/>
    <n v="9"/>
    <n v="4"/>
    <n v="3"/>
    <n v="5"/>
    <n v="3"/>
    <n v="1"/>
    <n v="4"/>
    <x v="1"/>
    <x v="0"/>
  </r>
  <r>
    <n v="27"/>
    <s v="No"/>
    <s v="Travel_Frequently"/>
    <n v="829"/>
    <s v="Sales"/>
    <n v="8"/>
    <n v="1"/>
    <s v="Marketing"/>
    <n v="1"/>
    <n v="800"/>
    <n v="3"/>
    <s v="Male"/>
    <n v="84"/>
    <n v="3"/>
    <x v="0"/>
    <s v="Sales Executive"/>
    <n v="4"/>
    <s v="Married"/>
    <x v="552"/>
    <n v="24008"/>
    <n v="0"/>
    <s v="Y"/>
    <s v="No"/>
    <n v="19"/>
    <n v="3"/>
    <n v="2"/>
    <n v="80"/>
    <n v="1"/>
    <n v="5"/>
    <n v="3"/>
    <n v="3"/>
    <n v="4"/>
    <n v="2"/>
    <n v="1"/>
    <n v="1"/>
    <x v="2"/>
    <x v="0"/>
  </r>
  <r>
    <n v="37"/>
    <s v="No"/>
    <s v="Travel_Rarely"/>
    <n v="571"/>
    <s v="Research &amp; Development"/>
    <n v="10"/>
    <n v="1"/>
    <s v="Life Sciences"/>
    <n v="1"/>
    <n v="802"/>
    <n v="4"/>
    <s v="Female"/>
    <n v="82"/>
    <n v="3"/>
    <x v="1"/>
    <s v="Research Scientist"/>
    <n v="1"/>
    <s v="Divorced"/>
    <x v="553"/>
    <n v="19905"/>
    <n v="0"/>
    <s v="Y"/>
    <s v="Yes"/>
    <n v="13"/>
    <n v="3"/>
    <n v="2"/>
    <n v="80"/>
    <n v="2"/>
    <n v="6"/>
    <n v="3"/>
    <n v="2"/>
    <n v="5"/>
    <n v="3"/>
    <n v="4"/>
    <n v="3"/>
    <x v="0"/>
    <x v="1"/>
  </r>
  <r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x v="0"/>
    <s v="Manufacturing Director"/>
    <n v="1"/>
    <s v="Single"/>
    <x v="554"/>
    <n v="26085"/>
    <n v="6"/>
    <s v="Y"/>
    <s v="Yes"/>
    <n v="12"/>
    <n v="3"/>
    <n v="4"/>
    <n v="80"/>
    <n v="0"/>
    <n v="17"/>
    <n v="2"/>
    <n v="3"/>
    <n v="15"/>
    <n v="7"/>
    <n v="4"/>
    <n v="12"/>
    <x v="0"/>
    <x v="0"/>
  </r>
  <r>
    <n v="34"/>
    <s v="No"/>
    <s v="Travel_Rarely"/>
    <n v="121"/>
    <s v="Research &amp; Development"/>
    <n v="2"/>
    <n v="4"/>
    <s v="Medical"/>
    <n v="1"/>
    <n v="804"/>
    <n v="3"/>
    <s v="Female"/>
    <n v="86"/>
    <n v="2"/>
    <x v="1"/>
    <s v="Research Scientist"/>
    <n v="1"/>
    <s v="Single"/>
    <x v="555"/>
    <n v="7530"/>
    <n v="1"/>
    <s v="Y"/>
    <s v="No"/>
    <n v="11"/>
    <n v="3"/>
    <n v="3"/>
    <n v="80"/>
    <n v="0"/>
    <n v="6"/>
    <n v="3"/>
    <n v="3"/>
    <n v="6"/>
    <n v="5"/>
    <n v="1"/>
    <n v="3"/>
    <x v="2"/>
    <x v="0"/>
  </r>
  <r>
    <n v="35"/>
    <s v="No"/>
    <s v="Travel_Rarely"/>
    <n v="384"/>
    <s v="Sales"/>
    <n v="8"/>
    <n v="4"/>
    <s v="Life Sciences"/>
    <n v="1"/>
    <n v="805"/>
    <n v="1"/>
    <s v="Female"/>
    <n v="72"/>
    <n v="3"/>
    <x v="1"/>
    <s v="Sales Representative"/>
    <n v="4"/>
    <s v="Married"/>
    <x v="556"/>
    <n v="20317"/>
    <n v="1"/>
    <s v="Y"/>
    <s v="No"/>
    <n v="16"/>
    <n v="3"/>
    <n v="2"/>
    <n v="80"/>
    <n v="1"/>
    <n v="3"/>
    <n v="1"/>
    <n v="2"/>
    <n v="3"/>
    <n v="2"/>
    <n v="0"/>
    <n v="2"/>
    <x v="2"/>
    <x v="1"/>
  </r>
  <r>
    <n v="30"/>
    <s v="No"/>
    <s v="Travel_Rarely"/>
    <n v="921"/>
    <s v="Research &amp; Development"/>
    <n v="1"/>
    <n v="3"/>
    <s v="Life Sciences"/>
    <n v="1"/>
    <n v="806"/>
    <n v="4"/>
    <s v="Male"/>
    <n v="38"/>
    <n v="1"/>
    <x v="1"/>
    <s v="Laboratory Technician"/>
    <n v="3"/>
    <s v="Married"/>
    <x v="557"/>
    <n v="24375"/>
    <n v="3"/>
    <s v="Y"/>
    <s v="No"/>
    <n v="21"/>
    <n v="4"/>
    <n v="3"/>
    <n v="80"/>
    <n v="2"/>
    <n v="7"/>
    <n v="2"/>
    <n v="3"/>
    <n v="2"/>
    <n v="2"/>
    <n v="0"/>
    <n v="2"/>
    <x v="2"/>
    <x v="0"/>
  </r>
  <r>
    <n v="40"/>
    <s v="No"/>
    <s v="Travel_Frequently"/>
    <n v="791"/>
    <s v="Research &amp; Development"/>
    <n v="2"/>
    <n v="2"/>
    <s v="Medical"/>
    <n v="1"/>
    <n v="807"/>
    <n v="3"/>
    <s v="Female"/>
    <n v="38"/>
    <n v="4"/>
    <x v="0"/>
    <s v="Healthcare Representative"/>
    <n v="2"/>
    <s v="Married"/>
    <x v="558"/>
    <n v="9931"/>
    <n v="1"/>
    <s v="Y"/>
    <s v="No"/>
    <n v="24"/>
    <n v="4"/>
    <n v="4"/>
    <n v="80"/>
    <n v="1"/>
    <n v="8"/>
    <n v="2"/>
    <n v="3"/>
    <n v="8"/>
    <n v="7"/>
    <n v="3"/>
    <n v="7"/>
    <x v="0"/>
    <x v="0"/>
  </r>
  <r>
    <n v="34"/>
    <s v="No"/>
    <s v="Travel_Rarely"/>
    <n v="1111"/>
    <s v="Sales"/>
    <n v="8"/>
    <n v="2"/>
    <s v="Life Sciences"/>
    <n v="1"/>
    <n v="808"/>
    <n v="3"/>
    <s v="Female"/>
    <n v="93"/>
    <n v="3"/>
    <x v="0"/>
    <s v="Sales Executive"/>
    <n v="1"/>
    <s v="Married"/>
    <x v="559"/>
    <n v="13305"/>
    <n v="5"/>
    <s v="Y"/>
    <s v="No"/>
    <n v="17"/>
    <n v="3"/>
    <n v="2"/>
    <n v="80"/>
    <n v="1"/>
    <n v="6"/>
    <n v="1"/>
    <n v="3"/>
    <n v="3"/>
    <n v="2"/>
    <n v="1"/>
    <n v="2"/>
    <x v="2"/>
    <x v="0"/>
  </r>
  <r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x v="4"/>
    <s v="Manager"/>
    <n v="4"/>
    <s v="Divorced"/>
    <x v="560"/>
    <n v="16225"/>
    <n v="1"/>
    <s v="Y"/>
    <s v="No"/>
    <n v="13"/>
    <n v="3"/>
    <n v="2"/>
    <n v="80"/>
    <n v="1"/>
    <n v="24"/>
    <n v="4"/>
    <n v="2"/>
    <n v="24"/>
    <n v="7"/>
    <n v="14"/>
    <n v="9"/>
    <x v="0"/>
    <x v="3"/>
  </r>
  <r>
    <n v="23"/>
    <s v="Yes"/>
    <s v="Travel_Rarely"/>
    <n v="1243"/>
    <s v="Research &amp; Development"/>
    <n v="6"/>
    <n v="3"/>
    <s v="Life Sciences"/>
    <n v="1"/>
    <n v="811"/>
    <n v="3"/>
    <s v="Male"/>
    <n v="63"/>
    <n v="4"/>
    <x v="1"/>
    <s v="Laboratory Technician"/>
    <n v="1"/>
    <s v="Married"/>
    <x v="561"/>
    <n v="3445"/>
    <n v="1"/>
    <s v="Y"/>
    <s v="Yes"/>
    <n v="21"/>
    <n v="4"/>
    <n v="3"/>
    <n v="80"/>
    <n v="2"/>
    <n v="1"/>
    <n v="2"/>
    <n v="3"/>
    <n v="0"/>
    <n v="0"/>
    <n v="0"/>
    <n v="0"/>
    <x v="4"/>
    <x v="1"/>
  </r>
  <r>
    <n v="24"/>
    <s v="No"/>
    <s v="Non-Travel"/>
    <n v="1092"/>
    <s v="Research &amp; Development"/>
    <n v="9"/>
    <n v="3"/>
    <s v="Life Sciences"/>
    <n v="1"/>
    <n v="812"/>
    <n v="3"/>
    <s v="Male"/>
    <n v="60"/>
    <n v="2"/>
    <x v="1"/>
    <s v="Laboratory Technician"/>
    <n v="2"/>
    <s v="Divorced"/>
    <x v="562"/>
    <n v="26551"/>
    <n v="1"/>
    <s v="Y"/>
    <s v="No"/>
    <n v="11"/>
    <n v="3"/>
    <n v="3"/>
    <n v="80"/>
    <n v="3"/>
    <n v="1"/>
    <n v="4"/>
    <n v="3"/>
    <n v="1"/>
    <n v="0"/>
    <n v="0"/>
    <n v="0"/>
    <x v="4"/>
    <x v="1"/>
  </r>
  <r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x v="0"/>
    <s v="Laboratory Technician"/>
    <n v="3"/>
    <s v="Married"/>
    <x v="563"/>
    <n v="21821"/>
    <n v="8"/>
    <s v="Y"/>
    <s v="No"/>
    <n v="20"/>
    <n v="4"/>
    <n v="2"/>
    <n v="80"/>
    <n v="1"/>
    <n v="9"/>
    <n v="3"/>
    <n v="3"/>
    <n v="5"/>
    <n v="2"/>
    <n v="1"/>
    <n v="4"/>
    <x v="1"/>
    <x v="0"/>
  </r>
  <r>
    <n v="50"/>
    <s v="No"/>
    <s v="Travel_Rarely"/>
    <n v="691"/>
    <s v="Research &amp; Development"/>
    <n v="2"/>
    <n v="3"/>
    <s v="Medical"/>
    <n v="1"/>
    <n v="815"/>
    <n v="3"/>
    <s v="Male"/>
    <n v="64"/>
    <n v="3"/>
    <x v="3"/>
    <s v="Research Director"/>
    <n v="3"/>
    <s v="Married"/>
    <x v="564"/>
    <n v="6881"/>
    <n v="5"/>
    <s v="Y"/>
    <s v="No"/>
    <n v="16"/>
    <n v="3"/>
    <n v="4"/>
    <n v="80"/>
    <n v="0"/>
    <n v="30"/>
    <n v="3"/>
    <n v="3"/>
    <n v="4"/>
    <n v="3"/>
    <n v="0"/>
    <n v="3"/>
    <x v="1"/>
    <x v="3"/>
  </r>
  <r>
    <n v="29"/>
    <s v="Yes"/>
    <s v="Travel_Rarely"/>
    <n v="805"/>
    <s v="Research &amp; Development"/>
    <n v="1"/>
    <n v="2"/>
    <s v="Life Sciences"/>
    <n v="1"/>
    <n v="816"/>
    <n v="2"/>
    <s v="Female"/>
    <n v="36"/>
    <n v="2"/>
    <x v="1"/>
    <s v="Laboratory Technician"/>
    <n v="1"/>
    <s v="Married"/>
    <x v="565"/>
    <n v="6689"/>
    <n v="1"/>
    <s v="Y"/>
    <s v="Yes"/>
    <n v="11"/>
    <n v="3"/>
    <n v="4"/>
    <n v="80"/>
    <n v="1"/>
    <n v="1"/>
    <n v="1"/>
    <n v="3"/>
    <n v="1"/>
    <n v="0"/>
    <n v="0"/>
    <n v="0"/>
    <x v="2"/>
    <x v="1"/>
  </r>
  <r>
    <n v="33"/>
    <s v="No"/>
    <s v="Travel_Rarely"/>
    <n v="213"/>
    <s v="Research &amp; Development"/>
    <n v="7"/>
    <n v="3"/>
    <s v="Medical"/>
    <n v="1"/>
    <n v="817"/>
    <n v="3"/>
    <s v="Male"/>
    <n v="49"/>
    <n v="3"/>
    <x v="2"/>
    <s v="Research Director"/>
    <n v="3"/>
    <s v="Married"/>
    <x v="566"/>
    <n v="25995"/>
    <n v="0"/>
    <s v="Y"/>
    <s v="No"/>
    <n v="11"/>
    <n v="3"/>
    <n v="4"/>
    <n v="80"/>
    <n v="0"/>
    <n v="14"/>
    <n v="3"/>
    <n v="4"/>
    <n v="13"/>
    <n v="9"/>
    <n v="3"/>
    <n v="7"/>
    <x v="2"/>
    <x v="2"/>
  </r>
  <r>
    <n v="33"/>
    <s v="Yes"/>
    <s v="Travel_Rarely"/>
    <n v="118"/>
    <s v="Sales"/>
    <n v="16"/>
    <n v="3"/>
    <s v="Marketing"/>
    <n v="1"/>
    <n v="819"/>
    <n v="1"/>
    <s v="Female"/>
    <n v="69"/>
    <n v="3"/>
    <x v="0"/>
    <s v="Sales Executive"/>
    <n v="1"/>
    <s v="Single"/>
    <x v="567"/>
    <n v="26507"/>
    <n v="5"/>
    <s v="Y"/>
    <s v="No"/>
    <n v="15"/>
    <n v="3"/>
    <n v="3"/>
    <n v="80"/>
    <n v="0"/>
    <n v="6"/>
    <n v="3"/>
    <n v="3"/>
    <n v="3"/>
    <n v="2"/>
    <n v="0"/>
    <n v="2"/>
    <x v="2"/>
    <x v="0"/>
  </r>
  <r>
    <n v="47"/>
    <s v="No"/>
    <s v="Travel_Rarely"/>
    <n v="202"/>
    <s v="Research &amp; Development"/>
    <n v="2"/>
    <n v="2"/>
    <s v="Other"/>
    <n v="1"/>
    <n v="820"/>
    <n v="3"/>
    <s v="Female"/>
    <n v="33"/>
    <n v="3"/>
    <x v="3"/>
    <s v="Manager"/>
    <n v="4"/>
    <s v="Married"/>
    <x v="568"/>
    <n v="12982"/>
    <n v="1"/>
    <s v="Y"/>
    <s v="Yes"/>
    <n v="11"/>
    <n v="3"/>
    <n v="3"/>
    <n v="80"/>
    <n v="1"/>
    <n v="26"/>
    <n v="3"/>
    <n v="2"/>
    <n v="26"/>
    <n v="14"/>
    <n v="3"/>
    <n v="0"/>
    <x v="1"/>
    <x v="3"/>
  </r>
  <r>
    <n v="36"/>
    <s v="No"/>
    <s v="Travel_Rarely"/>
    <n v="676"/>
    <s v="Research &amp; Development"/>
    <n v="1"/>
    <n v="3"/>
    <s v="Other"/>
    <n v="1"/>
    <n v="823"/>
    <n v="3"/>
    <s v="Female"/>
    <n v="35"/>
    <n v="3"/>
    <x v="0"/>
    <s v="Manufacturing Director"/>
    <n v="2"/>
    <s v="Married"/>
    <x v="311"/>
    <n v="23361"/>
    <n v="0"/>
    <s v="Y"/>
    <s v="No"/>
    <n v="15"/>
    <n v="3"/>
    <n v="1"/>
    <n v="80"/>
    <n v="1"/>
    <n v="10"/>
    <n v="2"/>
    <n v="3"/>
    <n v="9"/>
    <n v="7"/>
    <n v="0"/>
    <n v="5"/>
    <x v="0"/>
    <x v="0"/>
  </r>
  <r>
    <n v="29"/>
    <s v="No"/>
    <s v="Travel_Rarely"/>
    <n v="1252"/>
    <s v="Research &amp; Development"/>
    <n v="23"/>
    <n v="2"/>
    <s v="Life Sciences"/>
    <n v="1"/>
    <n v="824"/>
    <n v="3"/>
    <s v="Male"/>
    <n v="81"/>
    <n v="4"/>
    <x v="1"/>
    <s v="Research Scientist"/>
    <n v="3"/>
    <s v="Married"/>
    <x v="569"/>
    <n v="23779"/>
    <n v="1"/>
    <s v="Y"/>
    <s v="No"/>
    <n v="24"/>
    <n v="4"/>
    <n v="3"/>
    <n v="80"/>
    <n v="1"/>
    <n v="10"/>
    <n v="3"/>
    <n v="3"/>
    <n v="10"/>
    <n v="7"/>
    <n v="0"/>
    <n v="7"/>
    <x v="2"/>
    <x v="1"/>
  </r>
  <r>
    <n v="58"/>
    <s v="Yes"/>
    <s v="Travel_Rarely"/>
    <n v="286"/>
    <s v="Research &amp; Development"/>
    <n v="2"/>
    <n v="4"/>
    <s v="Life Sciences"/>
    <n v="1"/>
    <n v="825"/>
    <n v="4"/>
    <s v="Male"/>
    <n v="31"/>
    <n v="3"/>
    <x v="4"/>
    <s v="Research Director"/>
    <n v="2"/>
    <s v="Single"/>
    <x v="570"/>
    <n v="25761"/>
    <n v="7"/>
    <s v="Y"/>
    <s v="Yes"/>
    <n v="12"/>
    <n v="3"/>
    <n v="4"/>
    <n v="80"/>
    <n v="0"/>
    <n v="40"/>
    <n v="2"/>
    <n v="3"/>
    <n v="31"/>
    <n v="15"/>
    <n v="13"/>
    <n v="8"/>
    <x v="3"/>
    <x v="3"/>
  </r>
  <r>
    <n v="35"/>
    <s v="No"/>
    <s v="Travel_Rarely"/>
    <n v="1258"/>
    <s v="Research &amp; Development"/>
    <n v="1"/>
    <n v="4"/>
    <s v="Life Sciences"/>
    <n v="1"/>
    <n v="826"/>
    <n v="4"/>
    <s v="Female"/>
    <n v="40"/>
    <n v="4"/>
    <x v="1"/>
    <s v="Research Scientist"/>
    <n v="3"/>
    <s v="Single"/>
    <x v="571"/>
    <n v="13301"/>
    <n v="3"/>
    <s v="Y"/>
    <s v="No"/>
    <n v="13"/>
    <n v="3"/>
    <n v="3"/>
    <n v="80"/>
    <n v="0"/>
    <n v="7"/>
    <n v="0"/>
    <n v="3"/>
    <n v="2"/>
    <n v="2"/>
    <n v="2"/>
    <n v="2"/>
    <x v="2"/>
    <x v="1"/>
  </r>
  <r>
    <n v="42"/>
    <s v="No"/>
    <s v="Travel_Rarely"/>
    <n v="932"/>
    <s v="Research &amp; Development"/>
    <n v="1"/>
    <n v="2"/>
    <s v="Life Sciences"/>
    <n v="1"/>
    <n v="827"/>
    <n v="4"/>
    <s v="Female"/>
    <n v="43"/>
    <n v="2"/>
    <x v="0"/>
    <s v="Manufacturing Director"/>
    <n v="4"/>
    <s v="Married"/>
    <x v="572"/>
    <n v="4051"/>
    <n v="9"/>
    <s v="Y"/>
    <s v="Yes"/>
    <n v="13"/>
    <n v="3"/>
    <n v="4"/>
    <n v="80"/>
    <n v="1"/>
    <n v="8"/>
    <n v="4"/>
    <n v="3"/>
    <n v="4"/>
    <n v="3"/>
    <n v="0"/>
    <n v="2"/>
    <x v="0"/>
    <x v="0"/>
  </r>
  <r>
    <n v="28"/>
    <s v="Yes"/>
    <s v="Travel_Rarely"/>
    <n v="890"/>
    <s v="Research &amp; Development"/>
    <n v="2"/>
    <n v="4"/>
    <s v="Medical"/>
    <n v="1"/>
    <n v="828"/>
    <n v="3"/>
    <s v="Male"/>
    <n v="46"/>
    <n v="3"/>
    <x v="1"/>
    <s v="Research Scientist"/>
    <n v="3"/>
    <s v="Single"/>
    <x v="573"/>
    <n v="16374"/>
    <n v="6"/>
    <s v="Y"/>
    <s v="No"/>
    <n v="17"/>
    <n v="3"/>
    <n v="4"/>
    <n v="80"/>
    <n v="0"/>
    <n v="5"/>
    <n v="3"/>
    <n v="2"/>
    <n v="2"/>
    <n v="2"/>
    <n v="2"/>
    <n v="1"/>
    <x v="2"/>
    <x v="0"/>
  </r>
  <r>
    <n v="36"/>
    <s v="No"/>
    <s v="Travel_Rarely"/>
    <n v="1041"/>
    <s v="Human Resources"/>
    <n v="13"/>
    <n v="3"/>
    <s v="Human Resources"/>
    <n v="1"/>
    <n v="829"/>
    <n v="3"/>
    <s v="Male"/>
    <n v="36"/>
    <n v="3"/>
    <x v="1"/>
    <s v="Human Resources"/>
    <n v="2"/>
    <s v="Married"/>
    <x v="574"/>
    <n v="25527"/>
    <n v="4"/>
    <s v="Y"/>
    <s v="No"/>
    <n v="13"/>
    <n v="3"/>
    <n v="2"/>
    <n v="80"/>
    <n v="1"/>
    <n v="8"/>
    <n v="2"/>
    <n v="3"/>
    <n v="5"/>
    <n v="2"/>
    <n v="0"/>
    <n v="4"/>
    <x v="0"/>
    <x v="1"/>
  </r>
  <r>
    <n v="32"/>
    <s v="No"/>
    <s v="Travel_Rarely"/>
    <n v="859"/>
    <s v="Research &amp; Development"/>
    <n v="4"/>
    <n v="3"/>
    <s v="Life Sciences"/>
    <n v="1"/>
    <n v="830"/>
    <n v="3"/>
    <s v="Female"/>
    <n v="98"/>
    <n v="2"/>
    <x v="0"/>
    <s v="Manufacturing Director"/>
    <n v="3"/>
    <s v="Married"/>
    <x v="57"/>
    <n v="19124"/>
    <n v="1"/>
    <s v="Y"/>
    <s v="No"/>
    <n v="12"/>
    <n v="3"/>
    <n v="3"/>
    <n v="80"/>
    <n v="1"/>
    <n v="14"/>
    <n v="3"/>
    <n v="3"/>
    <n v="14"/>
    <n v="13"/>
    <n v="6"/>
    <n v="8"/>
    <x v="2"/>
    <x v="0"/>
  </r>
  <r>
    <n v="40"/>
    <s v="No"/>
    <s v="Travel_Frequently"/>
    <n v="720"/>
    <s v="Research &amp; Development"/>
    <n v="16"/>
    <n v="4"/>
    <s v="Medical"/>
    <n v="1"/>
    <n v="832"/>
    <n v="1"/>
    <s v="Male"/>
    <n v="51"/>
    <n v="2"/>
    <x v="0"/>
    <s v="Laboratory Technician"/>
    <n v="3"/>
    <s v="Single"/>
    <x v="575"/>
    <n v="11983"/>
    <n v="6"/>
    <s v="Y"/>
    <s v="No"/>
    <n v="14"/>
    <n v="3"/>
    <n v="4"/>
    <n v="80"/>
    <n v="0"/>
    <n v="10"/>
    <n v="6"/>
    <n v="3"/>
    <n v="1"/>
    <n v="0"/>
    <n v="0"/>
    <n v="0"/>
    <x v="0"/>
    <x v="0"/>
  </r>
  <r>
    <n v="30"/>
    <s v="No"/>
    <s v="Travel_Rarely"/>
    <n v="946"/>
    <s v="Research &amp; Development"/>
    <n v="2"/>
    <n v="3"/>
    <s v="Medical"/>
    <n v="1"/>
    <n v="833"/>
    <n v="3"/>
    <s v="Female"/>
    <n v="52"/>
    <n v="2"/>
    <x v="0"/>
    <s v="Manufacturing Director"/>
    <n v="4"/>
    <s v="Single"/>
    <x v="576"/>
    <n v="20234"/>
    <n v="5"/>
    <s v="Y"/>
    <s v="Yes"/>
    <n v="24"/>
    <n v="4"/>
    <n v="2"/>
    <n v="80"/>
    <n v="0"/>
    <n v="12"/>
    <n v="4"/>
    <n v="2"/>
    <n v="0"/>
    <n v="0"/>
    <n v="0"/>
    <n v="0"/>
    <x v="2"/>
    <x v="0"/>
  </r>
  <r>
    <n v="45"/>
    <s v="No"/>
    <s v="Travel_Rarely"/>
    <n v="252"/>
    <s v="Research &amp; Development"/>
    <n v="2"/>
    <n v="3"/>
    <s v="Life Sciences"/>
    <n v="1"/>
    <n v="834"/>
    <n v="2"/>
    <s v="Female"/>
    <n v="95"/>
    <n v="2"/>
    <x v="1"/>
    <s v="Research Scientist"/>
    <n v="3"/>
    <s v="Single"/>
    <x v="577"/>
    <n v="6153"/>
    <n v="1"/>
    <s v="Y"/>
    <s v="No"/>
    <n v="14"/>
    <n v="3"/>
    <n v="4"/>
    <n v="80"/>
    <n v="0"/>
    <n v="1"/>
    <n v="3"/>
    <n v="3"/>
    <n v="1"/>
    <n v="0"/>
    <n v="0"/>
    <n v="0"/>
    <x v="0"/>
    <x v="1"/>
  </r>
  <r>
    <n v="42"/>
    <s v="No"/>
    <s v="Travel_Rarely"/>
    <n v="933"/>
    <s v="Research &amp; Development"/>
    <n v="29"/>
    <n v="3"/>
    <s v="Life Sciences"/>
    <n v="1"/>
    <n v="836"/>
    <n v="2"/>
    <s v="Male"/>
    <n v="98"/>
    <n v="3"/>
    <x v="0"/>
    <s v="Manufacturing Director"/>
    <n v="2"/>
    <s v="Married"/>
    <x v="578"/>
    <n v="11806"/>
    <n v="1"/>
    <s v="Y"/>
    <s v="No"/>
    <n v="13"/>
    <n v="3"/>
    <n v="4"/>
    <n v="80"/>
    <n v="1"/>
    <n v="10"/>
    <n v="3"/>
    <n v="2"/>
    <n v="9"/>
    <n v="8"/>
    <n v="7"/>
    <n v="8"/>
    <x v="0"/>
    <x v="0"/>
  </r>
  <r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x v="0"/>
    <s v="Healthcare Representative"/>
    <n v="1"/>
    <s v="Divorced"/>
    <x v="579"/>
    <n v="4284"/>
    <n v="2"/>
    <s v="Y"/>
    <s v="No"/>
    <n v="15"/>
    <n v="3"/>
    <n v="3"/>
    <n v="80"/>
    <n v="1"/>
    <n v="13"/>
    <n v="3"/>
    <n v="2"/>
    <n v="4"/>
    <n v="3"/>
    <n v="1"/>
    <n v="2"/>
    <x v="0"/>
    <x v="0"/>
  </r>
  <r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x v="1"/>
    <s v="Research Scientist"/>
    <n v="4"/>
    <s v="Single"/>
    <x v="580"/>
    <n v="8306"/>
    <n v="1"/>
    <s v="Y"/>
    <s v="No"/>
    <n v="16"/>
    <n v="3"/>
    <n v="3"/>
    <n v="80"/>
    <n v="0"/>
    <n v="6"/>
    <n v="3"/>
    <n v="3"/>
    <n v="5"/>
    <n v="2"/>
    <n v="1"/>
    <n v="3"/>
    <x v="2"/>
    <x v="1"/>
  </r>
  <r>
    <n v="49"/>
    <s v="Yes"/>
    <s v="Travel_Rarely"/>
    <n v="1184"/>
    <s v="Sales"/>
    <n v="11"/>
    <n v="3"/>
    <s v="Marketing"/>
    <n v="1"/>
    <n v="840"/>
    <n v="3"/>
    <s v="Female"/>
    <n v="43"/>
    <n v="3"/>
    <x v="2"/>
    <s v="Sales Executive"/>
    <n v="4"/>
    <s v="Married"/>
    <x v="581"/>
    <n v="5860"/>
    <n v="1"/>
    <s v="Y"/>
    <s v="No"/>
    <n v="18"/>
    <n v="3"/>
    <n v="1"/>
    <n v="80"/>
    <n v="2"/>
    <n v="9"/>
    <n v="3"/>
    <n v="4"/>
    <n v="9"/>
    <n v="8"/>
    <n v="7"/>
    <n v="7"/>
    <x v="1"/>
    <x v="2"/>
  </r>
  <r>
    <n v="55"/>
    <s v="Yes"/>
    <s v="Travel_Rarely"/>
    <n v="436"/>
    <s v="Sales"/>
    <n v="2"/>
    <n v="1"/>
    <s v="Medical"/>
    <n v="1"/>
    <n v="842"/>
    <n v="3"/>
    <s v="Male"/>
    <n v="37"/>
    <n v="3"/>
    <x v="0"/>
    <s v="Sales Executive"/>
    <n v="4"/>
    <s v="Single"/>
    <x v="582"/>
    <n v="21519"/>
    <n v="4"/>
    <s v="Y"/>
    <s v="No"/>
    <n v="16"/>
    <n v="3"/>
    <n v="3"/>
    <n v="80"/>
    <n v="0"/>
    <n v="12"/>
    <n v="3"/>
    <n v="2"/>
    <n v="9"/>
    <n v="7"/>
    <n v="7"/>
    <n v="3"/>
    <x v="1"/>
    <x v="0"/>
  </r>
  <r>
    <n v="43"/>
    <s v="No"/>
    <s v="Travel_Rarely"/>
    <n v="589"/>
    <s v="Research &amp; Development"/>
    <n v="14"/>
    <n v="2"/>
    <s v="Life Sciences"/>
    <n v="1"/>
    <n v="843"/>
    <n v="2"/>
    <s v="Male"/>
    <n v="94"/>
    <n v="3"/>
    <x v="3"/>
    <s v="Research Director"/>
    <n v="1"/>
    <s v="Married"/>
    <x v="583"/>
    <n v="5200"/>
    <n v="6"/>
    <s v="Y"/>
    <s v="No"/>
    <n v="24"/>
    <n v="4"/>
    <n v="3"/>
    <n v="80"/>
    <n v="1"/>
    <n v="22"/>
    <n v="3"/>
    <n v="3"/>
    <n v="4"/>
    <n v="1"/>
    <n v="1"/>
    <n v="0"/>
    <x v="0"/>
    <x v="3"/>
  </r>
  <r>
    <n v="27"/>
    <s v="No"/>
    <s v="Travel_Rarely"/>
    <n v="269"/>
    <s v="Research &amp; Development"/>
    <n v="5"/>
    <n v="1"/>
    <s v="Technical Degree"/>
    <n v="1"/>
    <n v="844"/>
    <n v="3"/>
    <s v="Male"/>
    <n v="42"/>
    <n v="2"/>
    <x v="2"/>
    <s v="Research Director"/>
    <n v="4"/>
    <s v="Divorced"/>
    <x v="584"/>
    <n v="8842"/>
    <n v="1"/>
    <s v="Y"/>
    <s v="Yes"/>
    <n v="16"/>
    <n v="3"/>
    <n v="2"/>
    <n v="80"/>
    <n v="1"/>
    <n v="9"/>
    <n v="3"/>
    <n v="3"/>
    <n v="9"/>
    <n v="8"/>
    <n v="0"/>
    <n v="8"/>
    <x v="2"/>
    <x v="3"/>
  </r>
  <r>
    <n v="35"/>
    <s v="No"/>
    <s v="Travel_Rarely"/>
    <n v="950"/>
    <s v="Research &amp; Development"/>
    <n v="7"/>
    <n v="3"/>
    <s v="Other"/>
    <n v="1"/>
    <n v="845"/>
    <n v="3"/>
    <s v="Male"/>
    <n v="59"/>
    <n v="3"/>
    <x v="2"/>
    <s v="Manufacturing Director"/>
    <n v="3"/>
    <s v="Single"/>
    <x v="585"/>
    <n v="18869"/>
    <n v="3"/>
    <s v="Y"/>
    <s v="No"/>
    <n v="21"/>
    <n v="4"/>
    <n v="2"/>
    <n v="80"/>
    <n v="0"/>
    <n v="17"/>
    <n v="3"/>
    <n v="4"/>
    <n v="8"/>
    <n v="5"/>
    <n v="1"/>
    <n v="6"/>
    <x v="2"/>
    <x v="2"/>
  </r>
  <r>
    <n v="28"/>
    <s v="No"/>
    <s v="Travel_Rarely"/>
    <n v="760"/>
    <s v="Sales"/>
    <n v="2"/>
    <n v="4"/>
    <s v="Marketing"/>
    <n v="1"/>
    <n v="846"/>
    <n v="2"/>
    <s v="Female"/>
    <n v="81"/>
    <n v="3"/>
    <x v="0"/>
    <s v="Sales Executive"/>
    <n v="2"/>
    <s v="Married"/>
    <x v="586"/>
    <n v="3698"/>
    <n v="1"/>
    <s v="Y"/>
    <s v="Yes"/>
    <n v="20"/>
    <n v="4"/>
    <n v="1"/>
    <n v="80"/>
    <n v="0"/>
    <n v="8"/>
    <n v="2"/>
    <n v="3"/>
    <n v="8"/>
    <n v="7"/>
    <n v="7"/>
    <n v="5"/>
    <x v="2"/>
    <x v="0"/>
  </r>
  <r>
    <n v="34"/>
    <s v="No"/>
    <s v="Travel_Rarely"/>
    <n v="829"/>
    <s v="Human Resources"/>
    <n v="3"/>
    <n v="2"/>
    <s v="Human Resources"/>
    <n v="1"/>
    <n v="847"/>
    <n v="3"/>
    <s v="Male"/>
    <n v="88"/>
    <n v="3"/>
    <x v="1"/>
    <s v="Human Resources"/>
    <n v="4"/>
    <s v="Married"/>
    <x v="587"/>
    <n v="2243"/>
    <n v="0"/>
    <s v="Y"/>
    <s v="No"/>
    <n v="19"/>
    <n v="3"/>
    <n v="3"/>
    <n v="80"/>
    <n v="1"/>
    <n v="4"/>
    <n v="1"/>
    <n v="1"/>
    <n v="3"/>
    <n v="2"/>
    <n v="0"/>
    <n v="2"/>
    <x v="2"/>
    <x v="0"/>
  </r>
  <r>
    <n v="26"/>
    <s v="Yes"/>
    <s v="Travel_Frequently"/>
    <n v="887"/>
    <s v="Research &amp; Development"/>
    <n v="5"/>
    <n v="2"/>
    <s v="Medical"/>
    <n v="1"/>
    <n v="848"/>
    <n v="3"/>
    <s v="Female"/>
    <n v="88"/>
    <n v="2"/>
    <x v="1"/>
    <s v="Research Scientist"/>
    <n v="3"/>
    <s v="Married"/>
    <x v="588"/>
    <n v="20898"/>
    <n v="1"/>
    <s v="Y"/>
    <s v="Yes"/>
    <n v="14"/>
    <n v="3"/>
    <n v="1"/>
    <n v="80"/>
    <n v="1"/>
    <n v="8"/>
    <n v="2"/>
    <n v="3"/>
    <n v="8"/>
    <n v="7"/>
    <n v="1"/>
    <n v="7"/>
    <x v="2"/>
    <x v="1"/>
  </r>
  <r>
    <n v="27"/>
    <s v="No"/>
    <s v="Non-Travel"/>
    <n v="443"/>
    <s v="Research &amp; Development"/>
    <n v="3"/>
    <n v="3"/>
    <s v="Medical"/>
    <n v="1"/>
    <n v="850"/>
    <n v="4"/>
    <s v="Male"/>
    <n v="50"/>
    <n v="3"/>
    <x v="1"/>
    <s v="Research Scientist"/>
    <n v="4"/>
    <s v="Married"/>
    <x v="589"/>
    <n v="16571"/>
    <n v="1"/>
    <s v="Y"/>
    <s v="No"/>
    <n v="11"/>
    <n v="3"/>
    <n v="3"/>
    <n v="80"/>
    <n v="3"/>
    <n v="0"/>
    <n v="6"/>
    <n v="2"/>
    <n v="0"/>
    <n v="0"/>
    <n v="0"/>
    <n v="0"/>
    <x v="2"/>
    <x v="1"/>
  </r>
  <r>
    <n v="51"/>
    <s v="No"/>
    <s v="Travel_Rarely"/>
    <n v="1318"/>
    <s v="Sales"/>
    <n v="26"/>
    <n v="4"/>
    <s v="Marketing"/>
    <n v="1"/>
    <n v="851"/>
    <n v="1"/>
    <s v="Female"/>
    <n v="66"/>
    <n v="3"/>
    <x v="3"/>
    <s v="Manager"/>
    <n v="3"/>
    <s v="Married"/>
    <x v="590"/>
    <n v="5594"/>
    <n v="2"/>
    <s v="Y"/>
    <s v="No"/>
    <n v="14"/>
    <n v="3"/>
    <n v="3"/>
    <n v="80"/>
    <n v="1"/>
    <n v="29"/>
    <n v="2"/>
    <n v="2"/>
    <n v="20"/>
    <n v="6"/>
    <n v="4"/>
    <n v="17"/>
    <x v="1"/>
    <x v="3"/>
  </r>
  <r>
    <n v="44"/>
    <s v="No"/>
    <s v="Travel_Rarely"/>
    <n v="625"/>
    <s v="Research &amp; Development"/>
    <n v="4"/>
    <n v="3"/>
    <s v="Medical"/>
    <n v="1"/>
    <n v="852"/>
    <n v="4"/>
    <s v="Male"/>
    <n v="50"/>
    <n v="3"/>
    <x v="0"/>
    <s v="Healthcare Representative"/>
    <n v="2"/>
    <s v="Single"/>
    <x v="591"/>
    <n v="5197"/>
    <n v="9"/>
    <s v="Y"/>
    <s v="No"/>
    <n v="12"/>
    <n v="3"/>
    <n v="4"/>
    <n v="80"/>
    <n v="0"/>
    <n v="10"/>
    <n v="2"/>
    <n v="2"/>
    <n v="5"/>
    <n v="2"/>
    <n v="2"/>
    <n v="3"/>
    <x v="0"/>
    <x v="0"/>
  </r>
  <r>
    <n v="25"/>
    <s v="No"/>
    <s v="Travel_Rarely"/>
    <n v="180"/>
    <s v="Research &amp; Development"/>
    <n v="2"/>
    <n v="1"/>
    <s v="Medical"/>
    <n v="1"/>
    <n v="854"/>
    <n v="1"/>
    <s v="Male"/>
    <n v="65"/>
    <n v="4"/>
    <x v="1"/>
    <s v="Research Scientist"/>
    <n v="1"/>
    <s v="Single"/>
    <x v="592"/>
    <n v="21632"/>
    <n v="7"/>
    <s v="Y"/>
    <s v="No"/>
    <n v="13"/>
    <n v="3"/>
    <n v="3"/>
    <n v="80"/>
    <n v="0"/>
    <n v="6"/>
    <n v="3"/>
    <n v="2"/>
    <n v="4"/>
    <n v="3"/>
    <n v="0"/>
    <n v="1"/>
    <x v="4"/>
    <x v="0"/>
  </r>
  <r>
    <n v="33"/>
    <s v="No"/>
    <s v="Travel_Rarely"/>
    <n v="586"/>
    <s v="Sales"/>
    <n v="1"/>
    <n v="3"/>
    <s v="Medical"/>
    <n v="1"/>
    <n v="855"/>
    <n v="1"/>
    <s v="Male"/>
    <n v="48"/>
    <n v="4"/>
    <x v="0"/>
    <s v="Sales Executive"/>
    <n v="1"/>
    <s v="Divorced"/>
    <x v="593"/>
    <n v="21816"/>
    <n v="1"/>
    <s v="Y"/>
    <s v="No"/>
    <n v="22"/>
    <n v="4"/>
    <n v="1"/>
    <n v="80"/>
    <n v="1"/>
    <n v="9"/>
    <n v="5"/>
    <n v="3"/>
    <n v="9"/>
    <n v="8"/>
    <n v="0"/>
    <n v="8"/>
    <x v="2"/>
    <x v="0"/>
  </r>
  <r>
    <n v="35"/>
    <s v="No"/>
    <s v="Travel_Rarely"/>
    <n v="1343"/>
    <s v="Research &amp; Development"/>
    <n v="27"/>
    <n v="1"/>
    <s v="Medical"/>
    <n v="1"/>
    <n v="856"/>
    <n v="3"/>
    <s v="Female"/>
    <n v="53"/>
    <n v="2"/>
    <x v="1"/>
    <s v="Research Scientist"/>
    <n v="1"/>
    <s v="Single"/>
    <x v="594"/>
    <n v="17852"/>
    <n v="1"/>
    <s v="Y"/>
    <s v="No"/>
    <n v="11"/>
    <n v="3"/>
    <n v="4"/>
    <n v="80"/>
    <n v="0"/>
    <n v="6"/>
    <n v="3"/>
    <n v="2"/>
    <n v="6"/>
    <n v="5"/>
    <n v="1"/>
    <n v="1"/>
    <x v="2"/>
    <x v="1"/>
  </r>
  <r>
    <n v="36"/>
    <s v="No"/>
    <s v="Travel_Rarely"/>
    <n v="928"/>
    <s v="Sales"/>
    <n v="1"/>
    <n v="2"/>
    <s v="Life Sciences"/>
    <n v="1"/>
    <n v="857"/>
    <n v="2"/>
    <s v="Male"/>
    <n v="56"/>
    <n v="3"/>
    <x v="0"/>
    <s v="Sales Executive"/>
    <n v="4"/>
    <s v="Married"/>
    <x v="595"/>
    <n v="2823"/>
    <n v="1"/>
    <s v="Y"/>
    <s v="Yes"/>
    <n v="14"/>
    <n v="3"/>
    <n v="4"/>
    <n v="80"/>
    <n v="1"/>
    <n v="18"/>
    <n v="1"/>
    <n v="2"/>
    <n v="18"/>
    <n v="14"/>
    <n v="4"/>
    <n v="11"/>
    <x v="0"/>
    <x v="0"/>
  </r>
  <r>
    <n v="32"/>
    <s v="No"/>
    <s v="Travel_Rarely"/>
    <n v="117"/>
    <s v="Sales"/>
    <n v="13"/>
    <n v="4"/>
    <s v="Life Sciences"/>
    <n v="1"/>
    <n v="859"/>
    <n v="2"/>
    <s v="Male"/>
    <n v="73"/>
    <n v="3"/>
    <x v="0"/>
    <s v="Sales Executive"/>
    <n v="4"/>
    <s v="Divorced"/>
    <x v="596"/>
    <n v="9250"/>
    <n v="2"/>
    <s v="Y"/>
    <s v="No"/>
    <n v="11"/>
    <n v="3"/>
    <n v="3"/>
    <n v="80"/>
    <n v="1"/>
    <n v="8"/>
    <n v="3"/>
    <n v="2"/>
    <n v="5"/>
    <n v="2"/>
    <n v="0"/>
    <n v="3"/>
    <x v="2"/>
    <x v="0"/>
  </r>
  <r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x v="1"/>
    <s v="Research Scientist"/>
    <n v="4"/>
    <s v="Divorced"/>
    <x v="597"/>
    <n v="2373"/>
    <n v="9"/>
    <s v="Y"/>
    <s v="No"/>
    <n v="12"/>
    <n v="3"/>
    <n v="2"/>
    <n v="80"/>
    <n v="1"/>
    <n v="10"/>
    <n v="3"/>
    <n v="2"/>
    <n v="5"/>
    <n v="4"/>
    <n v="0"/>
    <n v="3"/>
    <x v="2"/>
    <x v="0"/>
  </r>
  <r>
    <n v="53"/>
    <s v="No"/>
    <s v="Travel_Rarely"/>
    <n v="661"/>
    <s v="Sales"/>
    <n v="7"/>
    <n v="2"/>
    <s v="Marketing"/>
    <n v="1"/>
    <n v="862"/>
    <n v="1"/>
    <s v="Female"/>
    <n v="78"/>
    <n v="2"/>
    <x v="2"/>
    <s v="Sales Executive"/>
    <n v="4"/>
    <s v="Married"/>
    <x v="598"/>
    <n v="20715"/>
    <n v="7"/>
    <s v="Y"/>
    <s v="Yes"/>
    <n v="18"/>
    <n v="3"/>
    <n v="4"/>
    <n v="80"/>
    <n v="1"/>
    <n v="35"/>
    <n v="3"/>
    <n v="3"/>
    <n v="5"/>
    <n v="2"/>
    <n v="0"/>
    <n v="4"/>
    <x v="1"/>
    <x v="2"/>
  </r>
  <r>
    <n v="45"/>
    <s v="No"/>
    <s v="Travel_Rarely"/>
    <n v="930"/>
    <s v="Sales"/>
    <n v="9"/>
    <n v="3"/>
    <s v="Marketing"/>
    <n v="1"/>
    <n v="864"/>
    <n v="4"/>
    <s v="Male"/>
    <n v="74"/>
    <n v="3"/>
    <x v="2"/>
    <s v="Sales Executive"/>
    <n v="1"/>
    <s v="Divorced"/>
    <x v="599"/>
    <n v="19239"/>
    <n v="4"/>
    <s v="Y"/>
    <s v="Yes"/>
    <n v="12"/>
    <n v="3"/>
    <n v="3"/>
    <n v="80"/>
    <n v="1"/>
    <n v="18"/>
    <n v="2"/>
    <n v="3"/>
    <n v="5"/>
    <n v="4"/>
    <n v="0"/>
    <n v="2"/>
    <x v="0"/>
    <x v="2"/>
  </r>
  <r>
    <n v="32"/>
    <s v="No"/>
    <s v="Travel_Rarely"/>
    <n v="638"/>
    <s v="Research &amp; Development"/>
    <n v="8"/>
    <n v="2"/>
    <s v="Medical"/>
    <n v="1"/>
    <n v="865"/>
    <n v="3"/>
    <s v="Female"/>
    <n v="91"/>
    <n v="4"/>
    <x v="0"/>
    <s v="Research Scientist"/>
    <n v="3"/>
    <s v="Married"/>
    <x v="600"/>
    <n v="22162"/>
    <n v="5"/>
    <s v="Y"/>
    <s v="No"/>
    <n v="12"/>
    <n v="3"/>
    <n v="3"/>
    <n v="80"/>
    <n v="1"/>
    <n v="9"/>
    <n v="3"/>
    <n v="2"/>
    <n v="5"/>
    <n v="3"/>
    <n v="1"/>
    <n v="3"/>
    <x v="2"/>
    <x v="0"/>
  </r>
  <r>
    <n v="52"/>
    <s v="No"/>
    <s v="Travel_Frequently"/>
    <n v="890"/>
    <s v="Research &amp; Development"/>
    <n v="25"/>
    <n v="4"/>
    <s v="Medical"/>
    <n v="1"/>
    <n v="867"/>
    <n v="3"/>
    <s v="Female"/>
    <n v="81"/>
    <n v="2"/>
    <x v="3"/>
    <s v="Manufacturing Director"/>
    <n v="4"/>
    <s v="Married"/>
    <x v="601"/>
    <n v="19028"/>
    <n v="3"/>
    <s v="Y"/>
    <s v="No"/>
    <n v="22"/>
    <n v="4"/>
    <n v="3"/>
    <n v="80"/>
    <n v="0"/>
    <n v="31"/>
    <n v="3"/>
    <n v="3"/>
    <n v="9"/>
    <n v="8"/>
    <n v="0"/>
    <n v="0"/>
    <x v="1"/>
    <x v="3"/>
  </r>
  <r>
    <n v="37"/>
    <s v="No"/>
    <s v="Travel_Rarely"/>
    <n v="342"/>
    <s v="Sales"/>
    <n v="16"/>
    <n v="4"/>
    <s v="Marketing"/>
    <n v="1"/>
    <n v="868"/>
    <n v="4"/>
    <s v="Male"/>
    <n v="66"/>
    <n v="2"/>
    <x v="0"/>
    <s v="Sales Executive"/>
    <n v="3"/>
    <s v="Divorced"/>
    <x v="602"/>
    <n v="24558"/>
    <n v="4"/>
    <s v="Y"/>
    <s v="No"/>
    <n v="19"/>
    <n v="3"/>
    <n v="4"/>
    <n v="80"/>
    <n v="2"/>
    <n v="9"/>
    <n v="2"/>
    <n v="3"/>
    <n v="1"/>
    <n v="0"/>
    <n v="0"/>
    <n v="0"/>
    <x v="0"/>
    <x v="0"/>
  </r>
  <r>
    <n v="28"/>
    <s v="No"/>
    <s v="Travel_Rarely"/>
    <n v="1169"/>
    <s v="Human Resources"/>
    <n v="8"/>
    <n v="2"/>
    <s v="Medical"/>
    <n v="1"/>
    <n v="869"/>
    <n v="2"/>
    <s v="Male"/>
    <n v="63"/>
    <n v="2"/>
    <x v="1"/>
    <s v="Human Resources"/>
    <n v="4"/>
    <s v="Divorced"/>
    <x v="365"/>
    <n v="23965"/>
    <n v="1"/>
    <s v="Y"/>
    <s v="No"/>
    <n v="13"/>
    <n v="3"/>
    <n v="4"/>
    <n v="80"/>
    <n v="1"/>
    <n v="6"/>
    <n v="6"/>
    <n v="3"/>
    <n v="5"/>
    <n v="1"/>
    <n v="0"/>
    <n v="4"/>
    <x v="2"/>
    <x v="0"/>
  </r>
  <r>
    <n v="22"/>
    <s v="No"/>
    <s v="Travel_Rarely"/>
    <n v="1230"/>
    <s v="Research &amp; Development"/>
    <n v="1"/>
    <n v="2"/>
    <s v="Life Sciences"/>
    <n v="1"/>
    <n v="872"/>
    <n v="4"/>
    <s v="Male"/>
    <n v="33"/>
    <n v="2"/>
    <x v="0"/>
    <s v="Manufacturing Director"/>
    <n v="4"/>
    <s v="Married"/>
    <x v="603"/>
    <n v="19146"/>
    <n v="6"/>
    <s v="Y"/>
    <s v="No"/>
    <n v="22"/>
    <n v="4"/>
    <n v="1"/>
    <n v="80"/>
    <n v="2"/>
    <n v="4"/>
    <n v="2"/>
    <n v="1"/>
    <n v="2"/>
    <n v="2"/>
    <n v="2"/>
    <n v="2"/>
    <x v="4"/>
    <x v="0"/>
  </r>
  <r>
    <n v="44"/>
    <s v="No"/>
    <s v="Travel_Rarely"/>
    <n v="986"/>
    <s v="Research &amp; Development"/>
    <n v="8"/>
    <n v="4"/>
    <s v="Life Sciences"/>
    <n v="1"/>
    <n v="874"/>
    <n v="1"/>
    <s v="Male"/>
    <n v="62"/>
    <n v="4"/>
    <x v="1"/>
    <s v="Laboratory Technician"/>
    <n v="4"/>
    <s v="Married"/>
    <x v="604"/>
    <n v="5044"/>
    <n v="2"/>
    <s v="Y"/>
    <s v="Yes"/>
    <n v="24"/>
    <n v="4"/>
    <n v="3"/>
    <n v="80"/>
    <n v="1"/>
    <n v="10"/>
    <n v="2"/>
    <n v="2"/>
    <n v="3"/>
    <n v="2"/>
    <n v="0"/>
    <n v="2"/>
    <x v="0"/>
    <x v="1"/>
  </r>
  <r>
    <n v="42"/>
    <s v="No"/>
    <s v="Travel_Frequently"/>
    <n v="1271"/>
    <s v="Research &amp; Development"/>
    <n v="2"/>
    <n v="1"/>
    <s v="Medical"/>
    <n v="1"/>
    <n v="875"/>
    <n v="2"/>
    <s v="Male"/>
    <n v="35"/>
    <n v="3"/>
    <x v="1"/>
    <s v="Research Scientist"/>
    <n v="4"/>
    <s v="Single"/>
    <x v="605"/>
    <n v="9068"/>
    <n v="5"/>
    <s v="Y"/>
    <s v="Yes"/>
    <n v="14"/>
    <n v="3"/>
    <n v="4"/>
    <n v="80"/>
    <n v="0"/>
    <n v="8"/>
    <n v="2"/>
    <n v="3"/>
    <n v="2"/>
    <n v="1"/>
    <n v="2"/>
    <n v="2"/>
    <x v="0"/>
    <x v="1"/>
  </r>
  <r>
    <n v="36"/>
    <s v="No"/>
    <s v="Travel_Rarely"/>
    <n v="1278"/>
    <s v="Human Resources"/>
    <n v="8"/>
    <n v="3"/>
    <s v="Life Sciences"/>
    <n v="1"/>
    <n v="878"/>
    <n v="1"/>
    <s v="Male"/>
    <n v="77"/>
    <n v="2"/>
    <x v="1"/>
    <s v="Human Resources"/>
    <n v="1"/>
    <s v="Married"/>
    <x v="531"/>
    <n v="8635"/>
    <n v="0"/>
    <s v="Y"/>
    <s v="No"/>
    <n v="21"/>
    <n v="4"/>
    <n v="3"/>
    <n v="80"/>
    <n v="0"/>
    <n v="6"/>
    <n v="3"/>
    <n v="3"/>
    <n v="5"/>
    <n v="4"/>
    <n v="0"/>
    <n v="3"/>
    <x v="0"/>
    <x v="1"/>
  </r>
  <r>
    <n v="25"/>
    <s v="No"/>
    <s v="Travel_Rarely"/>
    <n v="141"/>
    <s v="Sales"/>
    <n v="3"/>
    <n v="1"/>
    <s v="Other"/>
    <n v="1"/>
    <n v="879"/>
    <n v="3"/>
    <s v="Male"/>
    <n v="98"/>
    <n v="3"/>
    <x v="0"/>
    <s v="Sales Executive"/>
    <n v="1"/>
    <s v="Married"/>
    <x v="606"/>
    <n v="14363"/>
    <n v="1"/>
    <s v="Y"/>
    <s v="Yes"/>
    <n v="18"/>
    <n v="3"/>
    <n v="4"/>
    <n v="80"/>
    <n v="0"/>
    <n v="5"/>
    <n v="3"/>
    <n v="3"/>
    <n v="5"/>
    <n v="3"/>
    <n v="0"/>
    <n v="3"/>
    <x v="4"/>
    <x v="0"/>
  </r>
  <r>
    <n v="35"/>
    <s v="No"/>
    <s v="Travel_Rarely"/>
    <n v="607"/>
    <s v="Research &amp; Development"/>
    <n v="9"/>
    <n v="3"/>
    <s v="Life Sciences"/>
    <n v="1"/>
    <n v="880"/>
    <n v="4"/>
    <s v="Female"/>
    <n v="66"/>
    <n v="2"/>
    <x v="2"/>
    <s v="Manufacturing Director"/>
    <n v="3"/>
    <s v="Married"/>
    <x v="607"/>
    <n v="23457"/>
    <n v="1"/>
    <s v="Y"/>
    <s v="Yes"/>
    <n v="20"/>
    <n v="4"/>
    <n v="2"/>
    <n v="80"/>
    <n v="1"/>
    <n v="17"/>
    <n v="2"/>
    <n v="3"/>
    <n v="17"/>
    <n v="14"/>
    <n v="5"/>
    <n v="15"/>
    <x v="2"/>
    <x v="2"/>
  </r>
  <r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x v="1"/>
    <s v="Research Scientist"/>
    <n v="2"/>
    <s v="Divorced"/>
    <x v="608"/>
    <n v="16612"/>
    <n v="1"/>
    <s v="Y"/>
    <s v="Yes"/>
    <n v="19"/>
    <n v="3"/>
    <n v="1"/>
    <n v="80"/>
    <n v="1"/>
    <n v="10"/>
    <n v="3"/>
    <n v="2"/>
    <n v="10"/>
    <n v="2"/>
    <n v="7"/>
    <n v="8"/>
    <x v="2"/>
    <x v="1"/>
  </r>
  <r>
    <n v="32"/>
    <s v="No"/>
    <s v="Non-Travel"/>
    <n v="300"/>
    <s v="Research &amp; Development"/>
    <n v="1"/>
    <n v="3"/>
    <s v="Life Sciences"/>
    <n v="1"/>
    <n v="882"/>
    <n v="4"/>
    <s v="Male"/>
    <n v="61"/>
    <n v="3"/>
    <x v="1"/>
    <s v="Laboratory Technician"/>
    <n v="4"/>
    <s v="Divorced"/>
    <x v="609"/>
    <n v="9148"/>
    <n v="0"/>
    <s v="Y"/>
    <s v="No"/>
    <n v="12"/>
    <n v="3"/>
    <n v="2"/>
    <n v="80"/>
    <n v="1"/>
    <n v="4"/>
    <n v="2"/>
    <n v="3"/>
    <n v="3"/>
    <n v="0"/>
    <n v="0"/>
    <n v="2"/>
    <x v="2"/>
    <x v="1"/>
  </r>
  <r>
    <n v="25"/>
    <s v="No"/>
    <s v="Travel_Rarely"/>
    <n v="583"/>
    <s v="Sales"/>
    <n v="4"/>
    <n v="1"/>
    <s v="Marketing"/>
    <n v="1"/>
    <n v="885"/>
    <n v="3"/>
    <s v="Male"/>
    <n v="87"/>
    <n v="2"/>
    <x v="0"/>
    <s v="Sales Executive"/>
    <n v="1"/>
    <s v="Married"/>
    <x v="610"/>
    <n v="18154"/>
    <n v="1"/>
    <s v="Y"/>
    <s v="No"/>
    <n v="12"/>
    <n v="3"/>
    <n v="1"/>
    <n v="80"/>
    <n v="0"/>
    <n v="5"/>
    <n v="1"/>
    <n v="4"/>
    <n v="5"/>
    <n v="2"/>
    <n v="0"/>
    <n v="3"/>
    <x v="4"/>
    <x v="0"/>
  </r>
  <r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x v="1"/>
    <s v="Research Scientist"/>
    <n v="1"/>
    <s v="Married"/>
    <x v="611"/>
    <n v="10554"/>
    <n v="2"/>
    <s v="Y"/>
    <s v="No"/>
    <n v="16"/>
    <n v="3"/>
    <n v="2"/>
    <n v="80"/>
    <n v="1"/>
    <n v="7"/>
    <n v="2"/>
    <n v="3"/>
    <n v="4"/>
    <n v="2"/>
    <n v="0"/>
    <n v="2"/>
    <x v="1"/>
    <x v="0"/>
  </r>
  <r>
    <n v="24"/>
    <s v="No"/>
    <s v="Non-Travel"/>
    <n v="1269"/>
    <s v="Research &amp; Development"/>
    <n v="4"/>
    <n v="1"/>
    <s v="Life Sciences"/>
    <n v="1"/>
    <n v="888"/>
    <n v="1"/>
    <s v="Male"/>
    <n v="46"/>
    <n v="2"/>
    <x v="1"/>
    <s v="Laboratory Technician"/>
    <n v="4"/>
    <s v="Married"/>
    <x v="612"/>
    <n v="10778"/>
    <n v="0"/>
    <s v="Y"/>
    <s v="No"/>
    <n v="17"/>
    <n v="3"/>
    <n v="4"/>
    <n v="80"/>
    <n v="0"/>
    <n v="6"/>
    <n v="2"/>
    <n v="2"/>
    <n v="5"/>
    <n v="2"/>
    <n v="3"/>
    <n v="4"/>
    <x v="4"/>
    <x v="0"/>
  </r>
  <r>
    <n v="32"/>
    <s v="No"/>
    <s v="Travel_Frequently"/>
    <n v="379"/>
    <s v="Sales"/>
    <n v="5"/>
    <n v="2"/>
    <s v="Life Sciences"/>
    <n v="1"/>
    <n v="889"/>
    <n v="2"/>
    <s v="Male"/>
    <n v="48"/>
    <n v="3"/>
    <x v="0"/>
    <s v="Sales Executive"/>
    <n v="2"/>
    <s v="Married"/>
    <x v="613"/>
    <n v="8891"/>
    <n v="1"/>
    <s v="Y"/>
    <s v="No"/>
    <n v="14"/>
    <n v="3"/>
    <n v="4"/>
    <n v="80"/>
    <n v="1"/>
    <n v="10"/>
    <n v="3"/>
    <n v="3"/>
    <n v="10"/>
    <n v="8"/>
    <n v="5"/>
    <n v="3"/>
    <x v="2"/>
    <x v="0"/>
  </r>
  <r>
    <n v="38"/>
    <s v="No"/>
    <s v="Travel_Rarely"/>
    <n v="395"/>
    <s v="Sales"/>
    <n v="9"/>
    <n v="3"/>
    <s v="Marketing"/>
    <n v="1"/>
    <n v="893"/>
    <n v="2"/>
    <s v="Male"/>
    <n v="98"/>
    <n v="2"/>
    <x v="1"/>
    <s v="Sales Representative"/>
    <n v="2"/>
    <s v="Married"/>
    <x v="614"/>
    <n v="12102"/>
    <n v="0"/>
    <s v="Y"/>
    <s v="No"/>
    <n v="19"/>
    <n v="3"/>
    <n v="4"/>
    <n v="80"/>
    <n v="1"/>
    <n v="3"/>
    <n v="3"/>
    <n v="3"/>
    <n v="2"/>
    <n v="2"/>
    <n v="1"/>
    <n v="2"/>
    <x v="0"/>
    <x v="1"/>
  </r>
  <r>
    <n v="42"/>
    <s v="No"/>
    <s v="Travel_Rarely"/>
    <n v="1265"/>
    <s v="Research &amp; Development"/>
    <n v="3"/>
    <n v="3"/>
    <s v="Life Sciences"/>
    <n v="1"/>
    <n v="894"/>
    <n v="3"/>
    <s v="Female"/>
    <n v="95"/>
    <n v="4"/>
    <x v="0"/>
    <s v="Laboratory Technician"/>
    <n v="4"/>
    <s v="Married"/>
    <x v="615"/>
    <n v="23726"/>
    <n v="2"/>
    <s v="Y"/>
    <s v="Yes"/>
    <n v="13"/>
    <n v="3"/>
    <n v="2"/>
    <n v="80"/>
    <n v="1"/>
    <n v="17"/>
    <n v="1"/>
    <n v="2"/>
    <n v="5"/>
    <n v="3"/>
    <n v="1"/>
    <n v="3"/>
    <x v="0"/>
    <x v="0"/>
  </r>
  <r>
    <n v="31"/>
    <s v="No"/>
    <s v="Travel_Rarely"/>
    <n v="1222"/>
    <s v="Research &amp; Development"/>
    <n v="11"/>
    <n v="4"/>
    <s v="Life Sciences"/>
    <n v="1"/>
    <n v="895"/>
    <n v="4"/>
    <s v="Male"/>
    <n v="48"/>
    <n v="3"/>
    <x v="1"/>
    <s v="Research Scientist"/>
    <n v="4"/>
    <s v="Married"/>
    <x v="616"/>
    <n v="14871"/>
    <n v="3"/>
    <s v="Y"/>
    <s v="Yes"/>
    <n v="19"/>
    <n v="3"/>
    <n v="2"/>
    <n v="80"/>
    <n v="1"/>
    <n v="8"/>
    <n v="2"/>
    <n v="3"/>
    <n v="6"/>
    <n v="4"/>
    <n v="0"/>
    <n v="2"/>
    <x v="2"/>
    <x v="1"/>
  </r>
  <r>
    <n v="29"/>
    <s v="Yes"/>
    <s v="Travel_Rarely"/>
    <n v="341"/>
    <s v="Sales"/>
    <n v="1"/>
    <n v="3"/>
    <s v="Medical"/>
    <n v="1"/>
    <n v="896"/>
    <n v="2"/>
    <s v="Female"/>
    <n v="48"/>
    <n v="2"/>
    <x v="1"/>
    <s v="Sales Representative"/>
    <n v="3"/>
    <s v="Divorced"/>
    <x v="617"/>
    <n v="23522"/>
    <n v="6"/>
    <s v="Y"/>
    <s v="Yes"/>
    <n v="19"/>
    <n v="3"/>
    <n v="3"/>
    <n v="80"/>
    <n v="3"/>
    <n v="5"/>
    <n v="3"/>
    <n v="3"/>
    <n v="3"/>
    <n v="2"/>
    <n v="0"/>
    <n v="2"/>
    <x v="2"/>
    <x v="1"/>
  </r>
  <r>
    <n v="53"/>
    <s v="No"/>
    <s v="Travel_Rarely"/>
    <n v="868"/>
    <s v="Sales"/>
    <n v="8"/>
    <n v="3"/>
    <s v="Marketing"/>
    <n v="1"/>
    <n v="897"/>
    <n v="1"/>
    <s v="Male"/>
    <n v="73"/>
    <n v="3"/>
    <x v="3"/>
    <s v="Sales Executive"/>
    <n v="4"/>
    <s v="Married"/>
    <x v="618"/>
    <n v="22789"/>
    <n v="5"/>
    <s v="Y"/>
    <s v="No"/>
    <n v="14"/>
    <n v="3"/>
    <n v="3"/>
    <n v="80"/>
    <n v="1"/>
    <n v="28"/>
    <n v="3"/>
    <n v="3"/>
    <n v="2"/>
    <n v="0"/>
    <n v="2"/>
    <n v="2"/>
    <x v="1"/>
    <x v="2"/>
  </r>
  <r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x v="2"/>
    <s v="Manufacturing Director"/>
    <n v="2"/>
    <s v="Married"/>
    <x v="619"/>
    <n v="9129"/>
    <n v="3"/>
    <s v="Y"/>
    <s v="No"/>
    <n v="16"/>
    <n v="3"/>
    <n v="1"/>
    <n v="80"/>
    <n v="0"/>
    <n v="16"/>
    <n v="2"/>
    <n v="3"/>
    <n v="13"/>
    <n v="10"/>
    <n v="4"/>
    <n v="8"/>
    <x v="2"/>
    <x v="2"/>
  </r>
  <r>
    <n v="37"/>
    <s v="No"/>
    <s v="Travel_Frequently"/>
    <n v="1231"/>
    <s v="Sales"/>
    <n v="21"/>
    <n v="2"/>
    <s v="Medical"/>
    <n v="1"/>
    <n v="900"/>
    <n v="3"/>
    <s v="Female"/>
    <n v="54"/>
    <n v="3"/>
    <x v="1"/>
    <s v="Sales Representative"/>
    <n v="4"/>
    <s v="Married"/>
    <x v="620"/>
    <n v="21222"/>
    <n v="5"/>
    <s v="Y"/>
    <s v="No"/>
    <n v="15"/>
    <n v="3"/>
    <n v="2"/>
    <n v="80"/>
    <n v="1"/>
    <n v="10"/>
    <n v="3"/>
    <n v="3"/>
    <n v="5"/>
    <n v="4"/>
    <n v="0"/>
    <n v="0"/>
    <x v="0"/>
    <x v="1"/>
  </r>
  <r>
    <n v="53"/>
    <s v="No"/>
    <s v="Travel_Rarely"/>
    <n v="102"/>
    <s v="Research &amp; Development"/>
    <n v="23"/>
    <n v="4"/>
    <s v="Life Sciences"/>
    <n v="1"/>
    <n v="901"/>
    <n v="4"/>
    <s v="Female"/>
    <n v="72"/>
    <n v="3"/>
    <x v="3"/>
    <s v="Research Director"/>
    <n v="4"/>
    <s v="Single"/>
    <x v="621"/>
    <n v="20206"/>
    <n v="6"/>
    <s v="Y"/>
    <s v="No"/>
    <n v="18"/>
    <n v="3"/>
    <n v="3"/>
    <n v="80"/>
    <n v="0"/>
    <n v="33"/>
    <n v="0"/>
    <n v="3"/>
    <n v="12"/>
    <n v="9"/>
    <n v="3"/>
    <n v="8"/>
    <x v="1"/>
    <x v="3"/>
  </r>
  <r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x v="0"/>
    <s v="Healthcare Representative"/>
    <n v="4"/>
    <s v="Married"/>
    <x v="622"/>
    <n v="21782"/>
    <n v="4"/>
    <s v="Y"/>
    <s v="No"/>
    <n v="13"/>
    <n v="3"/>
    <n v="2"/>
    <n v="80"/>
    <n v="1"/>
    <n v="12"/>
    <n v="2"/>
    <n v="2"/>
    <n v="5"/>
    <n v="2"/>
    <n v="2"/>
    <n v="2"/>
    <x v="0"/>
    <x v="0"/>
  </r>
  <r>
    <n v="47"/>
    <s v="No"/>
    <s v="Travel_Rarely"/>
    <n v="249"/>
    <s v="Sales"/>
    <n v="2"/>
    <n v="2"/>
    <s v="Marketing"/>
    <n v="1"/>
    <n v="903"/>
    <n v="3"/>
    <s v="Female"/>
    <n v="35"/>
    <n v="3"/>
    <x v="0"/>
    <s v="Sales Executive"/>
    <n v="4"/>
    <s v="Married"/>
    <x v="623"/>
    <n v="17783"/>
    <n v="0"/>
    <s v="Y"/>
    <s v="Yes"/>
    <n v="22"/>
    <n v="4"/>
    <n v="1"/>
    <n v="80"/>
    <n v="1"/>
    <n v="8"/>
    <n v="2"/>
    <n v="3"/>
    <n v="7"/>
    <n v="6"/>
    <n v="7"/>
    <n v="7"/>
    <x v="1"/>
    <x v="0"/>
  </r>
  <r>
    <n v="37"/>
    <s v="No"/>
    <s v="Non-Travel"/>
    <n v="1252"/>
    <s v="Sales"/>
    <n v="19"/>
    <n v="2"/>
    <s v="Medical"/>
    <n v="1"/>
    <n v="904"/>
    <n v="1"/>
    <s v="Male"/>
    <n v="32"/>
    <n v="3"/>
    <x v="2"/>
    <s v="Sales Executive"/>
    <n v="2"/>
    <s v="Single"/>
    <x v="624"/>
    <n v="4814"/>
    <n v="1"/>
    <s v="Y"/>
    <s v="Yes"/>
    <n v="13"/>
    <n v="3"/>
    <n v="4"/>
    <n v="80"/>
    <n v="0"/>
    <n v="10"/>
    <n v="2"/>
    <n v="3"/>
    <n v="10"/>
    <n v="0"/>
    <n v="0"/>
    <n v="9"/>
    <x v="0"/>
    <x v="2"/>
  </r>
  <r>
    <n v="50"/>
    <s v="No"/>
    <s v="Non-Travel"/>
    <n v="881"/>
    <s v="Research &amp; Development"/>
    <n v="2"/>
    <n v="4"/>
    <s v="Life Sciences"/>
    <n v="1"/>
    <n v="905"/>
    <n v="1"/>
    <s v="Male"/>
    <n v="98"/>
    <n v="3"/>
    <x v="3"/>
    <s v="Manager"/>
    <n v="1"/>
    <s v="Divorced"/>
    <x v="625"/>
    <n v="4544"/>
    <n v="1"/>
    <s v="Y"/>
    <s v="No"/>
    <n v="11"/>
    <n v="3"/>
    <n v="4"/>
    <n v="80"/>
    <n v="1"/>
    <n v="31"/>
    <n v="3"/>
    <n v="3"/>
    <n v="31"/>
    <n v="6"/>
    <n v="14"/>
    <n v="7"/>
    <x v="1"/>
    <x v="3"/>
  </r>
  <r>
    <n v="39"/>
    <s v="No"/>
    <s v="Travel_Rarely"/>
    <n v="1383"/>
    <s v="Human Resources"/>
    <n v="2"/>
    <n v="3"/>
    <s v="Life Sciences"/>
    <n v="1"/>
    <n v="909"/>
    <n v="4"/>
    <s v="Female"/>
    <n v="42"/>
    <n v="2"/>
    <x v="0"/>
    <s v="Human Resources"/>
    <n v="4"/>
    <s v="Married"/>
    <x v="626"/>
    <n v="7790"/>
    <n v="8"/>
    <s v="Y"/>
    <s v="No"/>
    <n v="11"/>
    <n v="3"/>
    <n v="3"/>
    <n v="80"/>
    <n v="2"/>
    <n v="13"/>
    <n v="2"/>
    <n v="3"/>
    <n v="5"/>
    <n v="4"/>
    <n v="0"/>
    <n v="4"/>
    <x v="0"/>
    <x v="0"/>
  </r>
  <r>
    <n v="33"/>
    <s v="No"/>
    <s v="Travel_Rarely"/>
    <n v="1075"/>
    <s v="Human Resources"/>
    <n v="3"/>
    <n v="2"/>
    <s v="Human Resources"/>
    <n v="1"/>
    <n v="910"/>
    <n v="4"/>
    <s v="Male"/>
    <n v="57"/>
    <n v="3"/>
    <x v="1"/>
    <s v="Human Resources"/>
    <n v="2"/>
    <s v="Divorced"/>
    <x v="627"/>
    <n v="22650"/>
    <n v="3"/>
    <s v="Y"/>
    <s v="Yes"/>
    <n v="11"/>
    <n v="3"/>
    <n v="3"/>
    <n v="80"/>
    <n v="1"/>
    <n v="7"/>
    <n v="4"/>
    <n v="4"/>
    <n v="4"/>
    <n v="3"/>
    <n v="0"/>
    <n v="3"/>
    <x v="2"/>
    <x v="1"/>
  </r>
  <r>
    <n v="32"/>
    <s v="Yes"/>
    <s v="Travel_Rarely"/>
    <n v="374"/>
    <s v="Research &amp; Development"/>
    <n v="25"/>
    <n v="4"/>
    <s v="Life Sciences"/>
    <n v="1"/>
    <n v="911"/>
    <n v="1"/>
    <s v="Male"/>
    <n v="87"/>
    <n v="3"/>
    <x v="1"/>
    <s v="Laboratory Technician"/>
    <n v="4"/>
    <s v="Single"/>
    <x v="628"/>
    <n v="18016"/>
    <n v="1"/>
    <s v="Y"/>
    <s v="Yes"/>
    <n v="24"/>
    <n v="4"/>
    <n v="3"/>
    <n v="80"/>
    <n v="0"/>
    <n v="1"/>
    <n v="2"/>
    <n v="1"/>
    <n v="1"/>
    <n v="0"/>
    <n v="0"/>
    <n v="1"/>
    <x v="2"/>
    <x v="1"/>
  </r>
  <r>
    <n v="29"/>
    <s v="No"/>
    <s v="Travel_Rarely"/>
    <n v="1086"/>
    <s v="Research &amp; Development"/>
    <n v="7"/>
    <n v="1"/>
    <s v="Medical"/>
    <n v="1"/>
    <n v="912"/>
    <n v="1"/>
    <s v="Female"/>
    <n v="62"/>
    <n v="2"/>
    <x v="1"/>
    <s v="Laboratory Technician"/>
    <n v="4"/>
    <s v="Divorced"/>
    <x v="629"/>
    <n v="6054"/>
    <n v="6"/>
    <s v="Y"/>
    <s v="No"/>
    <n v="14"/>
    <n v="3"/>
    <n v="3"/>
    <n v="80"/>
    <n v="3"/>
    <n v="8"/>
    <n v="5"/>
    <n v="3"/>
    <n v="4"/>
    <n v="3"/>
    <n v="0"/>
    <n v="3"/>
    <x v="2"/>
    <x v="1"/>
  </r>
  <r>
    <n v="44"/>
    <s v="No"/>
    <s v="Travel_Rarely"/>
    <n v="661"/>
    <s v="Research &amp; Development"/>
    <n v="9"/>
    <n v="2"/>
    <s v="Life Sciences"/>
    <n v="1"/>
    <n v="913"/>
    <n v="2"/>
    <s v="Male"/>
    <n v="61"/>
    <n v="3"/>
    <x v="1"/>
    <s v="Research Scientist"/>
    <n v="1"/>
    <s v="Married"/>
    <x v="594"/>
    <n v="7508"/>
    <n v="1"/>
    <s v="Y"/>
    <s v="Yes"/>
    <n v="13"/>
    <n v="3"/>
    <n v="4"/>
    <n v="80"/>
    <n v="0"/>
    <n v="8"/>
    <n v="0"/>
    <n v="3"/>
    <n v="8"/>
    <n v="7"/>
    <n v="7"/>
    <n v="1"/>
    <x v="0"/>
    <x v="1"/>
  </r>
  <r>
    <n v="28"/>
    <s v="No"/>
    <s v="Travel_Rarely"/>
    <n v="821"/>
    <s v="Sales"/>
    <n v="5"/>
    <n v="4"/>
    <s v="Medical"/>
    <n v="1"/>
    <n v="916"/>
    <n v="1"/>
    <s v="Male"/>
    <n v="98"/>
    <n v="3"/>
    <x v="0"/>
    <s v="Sales Executive"/>
    <n v="4"/>
    <s v="Single"/>
    <x v="630"/>
    <n v="24252"/>
    <n v="1"/>
    <s v="Y"/>
    <s v="No"/>
    <n v="14"/>
    <n v="3"/>
    <n v="2"/>
    <n v="80"/>
    <n v="0"/>
    <n v="4"/>
    <n v="3"/>
    <n v="3"/>
    <n v="4"/>
    <n v="2"/>
    <n v="0"/>
    <n v="2"/>
    <x v="2"/>
    <x v="0"/>
  </r>
  <r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x v="1"/>
    <s v="Laboratory Technician"/>
    <n v="4"/>
    <s v="Divorced"/>
    <x v="631"/>
    <n v="13384"/>
    <n v="9"/>
    <s v="Y"/>
    <s v="Yes"/>
    <n v="14"/>
    <n v="3"/>
    <n v="4"/>
    <n v="80"/>
    <n v="1"/>
    <n v="3"/>
    <n v="3"/>
    <n v="2"/>
    <n v="1"/>
    <n v="0"/>
    <n v="0"/>
    <n v="0"/>
    <x v="3"/>
    <x v="1"/>
  </r>
  <r>
    <n v="43"/>
    <s v="No"/>
    <s v="Travel_Rarely"/>
    <n v="177"/>
    <s v="Research &amp; Development"/>
    <n v="8"/>
    <n v="3"/>
    <s v="Life Sciences"/>
    <n v="1"/>
    <n v="920"/>
    <n v="1"/>
    <s v="Female"/>
    <n v="55"/>
    <n v="3"/>
    <x v="0"/>
    <s v="Manufacturing Director"/>
    <n v="2"/>
    <s v="Divorced"/>
    <x v="632"/>
    <n v="23814"/>
    <n v="4"/>
    <s v="Y"/>
    <s v="No"/>
    <n v="21"/>
    <n v="4"/>
    <n v="3"/>
    <n v="80"/>
    <n v="1"/>
    <n v="4"/>
    <n v="2"/>
    <n v="4"/>
    <n v="1"/>
    <n v="0"/>
    <n v="0"/>
    <n v="0"/>
    <x v="0"/>
    <x v="0"/>
  </r>
  <r>
    <n v="20"/>
    <s v="Yes"/>
    <s v="Travel_Rarely"/>
    <n v="500"/>
    <s v="Sales"/>
    <n v="2"/>
    <n v="3"/>
    <s v="Medical"/>
    <n v="1"/>
    <n v="922"/>
    <n v="3"/>
    <s v="Female"/>
    <n v="49"/>
    <n v="2"/>
    <x v="1"/>
    <s v="Sales Representative"/>
    <n v="3"/>
    <s v="Single"/>
    <x v="633"/>
    <n v="22052"/>
    <n v="1"/>
    <s v="Y"/>
    <s v="No"/>
    <n v="13"/>
    <n v="3"/>
    <n v="4"/>
    <n v="80"/>
    <n v="0"/>
    <n v="2"/>
    <n v="3"/>
    <n v="2"/>
    <n v="2"/>
    <n v="2"/>
    <n v="0"/>
    <n v="2"/>
    <x v="4"/>
    <x v="1"/>
  </r>
  <r>
    <n v="21"/>
    <s v="Yes"/>
    <s v="Travel_Rarely"/>
    <n v="1427"/>
    <s v="Research &amp; Development"/>
    <n v="18"/>
    <n v="1"/>
    <s v="Other"/>
    <n v="1"/>
    <n v="923"/>
    <n v="4"/>
    <s v="Female"/>
    <n v="65"/>
    <n v="3"/>
    <x v="1"/>
    <s v="Research Scientist"/>
    <n v="4"/>
    <s v="Single"/>
    <x v="7"/>
    <n v="8870"/>
    <n v="1"/>
    <s v="Y"/>
    <s v="No"/>
    <n v="19"/>
    <n v="3"/>
    <n v="1"/>
    <n v="80"/>
    <n v="0"/>
    <n v="1"/>
    <n v="3"/>
    <n v="2"/>
    <n v="1"/>
    <n v="0"/>
    <n v="0"/>
    <n v="0"/>
    <x v="4"/>
    <x v="1"/>
  </r>
  <r>
    <n v="36"/>
    <s v="No"/>
    <s v="Travel_Rarely"/>
    <n v="1425"/>
    <s v="Research &amp; Development"/>
    <n v="14"/>
    <n v="1"/>
    <s v="Life Sciences"/>
    <n v="1"/>
    <n v="924"/>
    <n v="3"/>
    <s v="Male"/>
    <n v="68"/>
    <n v="3"/>
    <x v="0"/>
    <s v="Healthcare Representative"/>
    <n v="4"/>
    <s v="Married"/>
    <x v="634"/>
    <n v="4821"/>
    <n v="0"/>
    <s v="Y"/>
    <s v="Yes"/>
    <n v="17"/>
    <n v="3"/>
    <n v="1"/>
    <n v="80"/>
    <n v="1"/>
    <n v="17"/>
    <n v="2"/>
    <n v="2"/>
    <n v="16"/>
    <n v="8"/>
    <n v="4"/>
    <n v="11"/>
    <x v="0"/>
    <x v="0"/>
  </r>
  <r>
    <n v="47"/>
    <s v="No"/>
    <s v="Travel_Rarely"/>
    <n v="1454"/>
    <s v="Sales"/>
    <n v="2"/>
    <n v="4"/>
    <s v="Life Sciences"/>
    <n v="1"/>
    <n v="925"/>
    <n v="4"/>
    <s v="Female"/>
    <n v="65"/>
    <n v="2"/>
    <x v="1"/>
    <s v="Sales Representative"/>
    <n v="4"/>
    <s v="Single"/>
    <x v="635"/>
    <n v="13137"/>
    <n v="1"/>
    <s v="Y"/>
    <s v="Yes"/>
    <n v="18"/>
    <n v="3"/>
    <n v="1"/>
    <n v="80"/>
    <n v="0"/>
    <n v="3"/>
    <n v="3"/>
    <n v="2"/>
    <n v="3"/>
    <n v="2"/>
    <n v="1"/>
    <n v="2"/>
    <x v="1"/>
    <x v="0"/>
  </r>
  <r>
    <n v="22"/>
    <s v="Yes"/>
    <s v="Travel_Rarely"/>
    <n v="617"/>
    <s v="Research &amp; Development"/>
    <n v="3"/>
    <n v="1"/>
    <s v="Life Sciences"/>
    <n v="1"/>
    <n v="926"/>
    <n v="2"/>
    <s v="Female"/>
    <n v="34"/>
    <n v="3"/>
    <x v="0"/>
    <s v="Manufacturing Director"/>
    <n v="3"/>
    <s v="Married"/>
    <x v="636"/>
    <n v="10022"/>
    <n v="0"/>
    <s v="Y"/>
    <s v="Yes"/>
    <n v="19"/>
    <n v="3"/>
    <n v="1"/>
    <n v="80"/>
    <n v="1"/>
    <n v="4"/>
    <n v="3"/>
    <n v="4"/>
    <n v="3"/>
    <n v="2"/>
    <n v="0"/>
    <n v="2"/>
    <x v="4"/>
    <x v="0"/>
  </r>
  <r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x v="1"/>
    <s v="Laboratory Technician"/>
    <n v="4"/>
    <s v="Divorced"/>
    <x v="637"/>
    <n v="17725"/>
    <n v="4"/>
    <s v="Y"/>
    <s v="Yes"/>
    <n v="13"/>
    <n v="3"/>
    <n v="3"/>
    <n v="80"/>
    <n v="1"/>
    <n v="10"/>
    <n v="1"/>
    <n v="2"/>
    <n v="7"/>
    <n v="7"/>
    <n v="1"/>
    <n v="0"/>
    <x v="0"/>
    <x v="1"/>
  </r>
  <r>
    <n v="28"/>
    <s v="No"/>
    <s v="Travel_Rarely"/>
    <n v="995"/>
    <s v="Research &amp; Development"/>
    <n v="9"/>
    <n v="3"/>
    <s v="Medical"/>
    <n v="1"/>
    <n v="930"/>
    <n v="3"/>
    <s v="Female"/>
    <n v="77"/>
    <n v="3"/>
    <x v="1"/>
    <s v="Research Scientist"/>
    <n v="3"/>
    <s v="Divorced"/>
    <x v="638"/>
    <n v="9834"/>
    <n v="5"/>
    <s v="Y"/>
    <s v="No"/>
    <n v="18"/>
    <n v="3"/>
    <n v="2"/>
    <n v="80"/>
    <n v="1"/>
    <n v="6"/>
    <n v="2"/>
    <n v="3"/>
    <n v="2"/>
    <n v="2"/>
    <n v="2"/>
    <n v="2"/>
    <x v="2"/>
    <x v="1"/>
  </r>
  <r>
    <n v="39"/>
    <s v="Yes"/>
    <s v="Travel_Rarely"/>
    <n v="1122"/>
    <s v="Research &amp; Development"/>
    <n v="6"/>
    <n v="3"/>
    <s v="Medical"/>
    <n v="1"/>
    <n v="932"/>
    <n v="4"/>
    <s v="Male"/>
    <n v="70"/>
    <n v="3"/>
    <x v="1"/>
    <s v="Laboratory Technician"/>
    <n v="1"/>
    <s v="Married"/>
    <x v="639"/>
    <n v="4303"/>
    <n v="7"/>
    <s v="Y"/>
    <s v="Yes"/>
    <n v="21"/>
    <n v="4"/>
    <n v="4"/>
    <n v="80"/>
    <n v="0"/>
    <n v="8"/>
    <n v="2"/>
    <n v="1"/>
    <n v="2"/>
    <n v="2"/>
    <n v="2"/>
    <n v="2"/>
    <x v="0"/>
    <x v="1"/>
  </r>
  <r>
    <n v="27"/>
    <s v="No"/>
    <s v="Travel_Rarely"/>
    <n v="618"/>
    <s v="Research &amp; Development"/>
    <n v="4"/>
    <n v="3"/>
    <s v="Life Sciences"/>
    <n v="1"/>
    <n v="933"/>
    <n v="2"/>
    <s v="Female"/>
    <n v="76"/>
    <n v="3"/>
    <x v="1"/>
    <s v="Research Scientist"/>
    <n v="3"/>
    <s v="Single"/>
    <x v="640"/>
    <n v="17808"/>
    <n v="1"/>
    <s v="Y"/>
    <s v="No"/>
    <n v="19"/>
    <n v="3"/>
    <n v="3"/>
    <n v="80"/>
    <n v="0"/>
    <n v="1"/>
    <n v="2"/>
    <n v="3"/>
    <n v="1"/>
    <n v="1"/>
    <n v="0"/>
    <n v="0"/>
    <x v="2"/>
    <x v="1"/>
  </r>
  <r>
    <n v="34"/>
    <s v="No"/>
    <s v="Travel_Rarely"/>
    <n v="546"/>
    <s v="Research &amp; Development"/>
    <n v="10"/>
    <n v="3"/>
    <s v="Life Sciences"/>
    <n v="1"/>
    <n v="934"/>
    <n v="2"/>
    <s v="Male"/>
    <n v="83"/>
    <n v="3"/>
    <x v="1"/>
    <s v="Laboratory Technician"/>
    <n v="2"/>
    <s v="Divorced"/>
    <x v="641"/>
    <n v="6896"/>
    <n v="1"/>
    <s v="Y"/>
    <s v="No"/>
    <n v="14"/>
    <n v="3"/>
    <n v="2"/>
    <n v="80"/>
    <n v="2"/>
    <n v="1"/>
    <n v="3"/>
    <n v="3"/>
    <n v="1"/>
    <n v="0"/>
    <n v="1"/>
    <n v="0"/>
    <x v="2"/>
    <x v="1"/>
  </r>
  <r>
    <n v="42"/>
    <s v="No"/>
    <s v="Travel_Rarely"/>
    <n v="462"/>
    <s v="Sales"/>
    <n v="14"/>
    <n v="2"/>
    <s v="Medical"/>
    <n v="1"/>
    <n v="936"/>
    <n v="3"/>
    <s v="Female"/>
    <n v="68"/>
    <n v="2"/>
    <x v="0"/>
    <s v="Sales Executive"/>
    <n v="3"/>
    <s v="Single"/>
    <x v="642"/>
    <n v="7824"/>
    <n v="7"/>
    <s v="Y"/>
    <s v="No"/>
    <n v="17"/>
    <n v="3"/>
    <n v="1"/>
    <n v="80"/>
    <n v="0"/>
    <n v="10"/>
    <n v="6"/>
    <n v="3"/>
    <n v="5"/>
    <n v="4"/>
    <n v="0"/>
    <n v="3"/>
    <x v="0"/>
    <x v="0"/>
  </r>
  <r>
    <n v="33"/>
    <s v="No"/>
    <s v="Travel_Rarely"/>
    <n v="1198"/>
    <s v="Research &amp; Development"/>
    <n v="1"/>
    <n v="4"/>
    <s v="Other"/>
    <n v="1"/>
    <n v="939"/>
    <n v="3"/>
    <s v="Male"/>
    <n v="100"/>
    <n v="2"/>
    <x v="1"/>
    <s v="Research Scientist"/>
    <n v="1"/>
    <s v="Single"/>
    <x v="643"/>
    <n v="3339"/>
    <n v="3"/>
    <s v="Y"/>
    <s v="Yes"/>
    <n v="11"/>
    <n v="3"/>
    <n v="2"/>
    <n v="80"/>
    <n v="0"/>
    <n v="6"/>
    <n v="1"/>
    <n v="3"/>
    <n v="3"/>
    <n v="2"/>
    <n v="0"/>
    <n v="2"/>
    <x v="2"/>
    <x v="1"/>
  </r>
  <r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x v="2"/>
    <s v="Healthcare Representative"/>
    <n v="2"/>
    <s v="Divorced"/>
    <x v="644"/>
    <n v="9255"/>
    <n v="2"/>
    <s v="Y"/>
    <s v="Yes"/>
    <n v="13"/>
    <n v="3"/>
    <n v="4"/>
    <n v="80"/>
    <n v="1"/>
    <n v="24"/>
    <n v="3"/>
    <n v="3"/>
    <n v="6"/>
    <n v="0"/>
    <n v="0"/>
    <n v="4"/>
    <x v="3"/>
    <x v="2"/>
  </r>
  <r>
    <n v="31"/>
    <s v="No"/>
    <s v="Travel_Rarely"/>
    <n v="154"/>
    <s v="Sales"/>
    <n v="7"/>
    <n v="4"/>
    <s v="Life Sciences"/>
    <n v="1"/>
    <n v="941"/>
    <n v="2"/>
    <s v="Male"/>
    <n v="41"/>
    <n v="2"/>
    <x v="1"/>
    <s v="Sales Representative"/>
    <n v="3"/>
    <s v="Married"/>
    <x v="645"/>
    <n v="11737"/>
    <n v="3"/>
    <s v="Y"/>
    <s v="No"/>
    <n v="15"/>
    <n v="3"/>
    <n v="2"/>
    <n v="80"/>
    <n v="0"/>
    <n v="13"/>
    <n v="2"/>
    <n v="4"/>
    <n v="7"/>
    <n v="7"/>
    <n v="5"/>
    <n v="2"/>
    <x v="2"/>
    <x v="1"/>
  </r>
  <r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x v="0"/>
    <s v="Healthcare Representative"/>
    <n v="4"/>
    <s v="Married"/>
    <x v="55"/>
    <n v="19170"/>
    <n v="1"/>
    <s v="Y"/>
    <s v="Yes"/>
    <n v="25"/>
    <n v="4"/>
    <n v="4"/>
    <n v="80"/>
    <n v="1"/>
    <n v="10"/>
    <n v="2"/>
    <n v="1"/>
    <n v="10"/>
    <n v="6"/>
    <n v="0"/>
    <n v="7"/>
    <x v="2"/>
    <x v="0"/>
  </r>
  <r>
    <n v="49"/>
    <s v="No"/>
    <s v="Travel_Rarely"/>
    <n v="527"/>
    <s v="Research &amp; Development"/>
    <n v="8"/>
    <n v="2"/>
    <s v="Other"/>
    <n v="1"/>
    <n v="944"/>
    <n v="1"/>
    <s v="Female"/>
    <n v="51"/>
    <n v="3"/>
    <x v="2"/>
    <s v="Laboratory Technician"/>
    <n v="2"/>
    <s v="Married"/>
    <x v="646"/>
    <n v="22477"/>
    <n v="4"/>
    <s v="Y"/>
    <s v="No"/>
    <n v="11"/>
    <n v="3"/>
    <n v="3"/>
    <n v="80"/>
    <n v="1"/>
    <n v="29"/>
    <n v="3"/>
    <n v="2"/>
    <n v="26"/>
    <n v="9"/>
    <n v="1"/>
    <n v="7"/>
    <x v="1"/>
    <x v="2"/>
  </r>
  <r>
    <n v="48"/>
    <s v="No"/>
    <s v="Travel_Rarely"/>
    <n v="1469"/>
    <s v="Research &amp; Development"/>
    <n v="20"/>
    <n v="4"/>
    <s v="Medical"/>
    <n v="1"/>
    <n v="945"/>
    <n v="4"/>
    <s v="Male"/>
    <n v="51"/>
    <n v="3"/>
    <x v="1"/>
    <s v="Research Scientist"/>
    <n v="3"/>
    <s v="Married"/>
    <x v="647"/>
    <n v="5543"/>
    <n v="4"/>
    <s v="Y"/>
    <s v="No"/>
    <n v="17"/>
    <n v="3"/>
    <n v="1"/>
    <n v="80"/>
    <n v="2"/>
    <n v="13"/>
    <n v="2"/>
    <n v="2"/>
    <n v="0"/>
    <n v="0"/>
    <n v="0"/>
    <n v="0"/>
    <x v="1"/>
    <x v="1"/>
  </r>
  <r>
    <n v="31"/>
    <s v="No"/>
    <s v="Non-Travel"/>
    <n v="1188"/>
    <s v="Sales"/>
    <n v="20"/>
    <n v="2"/>
    <s v="Marketing"/>
    <n v="1"/>
    <n v="947"/>
    <n v="4"/>
    <s v="Female"/>
    <n v="45"/>
    <n v="3"/>
    <x v="0"/>
    <s v="Sales Executive"/>
    <n v="3"/>
    <s v="Married"/>
    <x v="648"/>
    <n v="24406"/>
    <n v="1"/>
    <s v="Y"/>
    <s v="No"/>
    <n v="13"/>
    <n v="3"/>
    <n v="4"/>
    <n v="80"/>
    <n v="1"/>
    <n v="9"/>
    <n v="2"/>
    <n v="2"/>
    <n v="9"/>
    <n v="8"/>
    <n v="0"/>
    <n v="0"/>
    <x v="2"/>
    <x v="0"/>
  </r>
  <r>
    <n v="36"/>
    <s v="No"/>
    <s v="Travel_Rarely"/>
    <n v="188"/>
    <s v="Research &amp; Development"/>
    <n v="7"/>
    <n v="4"/>
    <s v="Other"/>
    <n v="1"/>
    <n v="949"/>
    <n v="2"/>
    <s v="Male"/>
    <n v="65"/>
    <n v="3"/>
    <x v="1"/>
    <s v="Research Scientist"/>
    <n v="4"/>
    <s v="Single"/>
    <x v="649"/>
    <n v="23293"/>
    <n v="2"/>
    <s v="Y"/>
    <s v="No"/>
    <n v="18"/>
    <n v="3"/>
    <n v="3"/>
    <n v="80"/>
    <n v="0"/>
    <n v="8"/>
    <n v="6"/>
    <n v="3"/>
    <n v="6"/>
    <n v="2"/>
    <n v="0"/>
    <n v="1"/>
    <x v="0"/>
    <x v="0"/>
  </r>
  <r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x v="2"/>
    <s v="Research Director"/>
    <n v="1"/>
    <s v="Married"/>
    <x v="650"/>
    <n v="16292"/>
    <n v="1"/>
    <s v="Y"/>
    <s v="No"/>
    <n v="13"/>
    <n v="3"/>
    <n v="2"/>
    <n v="80"/>
    <n v="1"/>
    <n v="15"/>
    <n v="3"/>
    <n v="3"/>
    <n v="15"/>
    <n v="12"/>
    <n v="5"/>
    <n v="11"/>
    <x v="0"/>
    <x v="3"/>
  </r>
  <r>
    <n v="32"/>
    <s v="No"/>
    <s v="Non-Travel"/>
    <n v="1184"/>
    <s v="Research &amp; Development"/>
    <n v="1"/>
    <n v="3"/>
    <s v="Life Sciences"/>
    <n v="1"/>
    <n v="951"/>
    <n v="3"/>
    <s v="Female"/>
    <n v="70"/>
    <n v="2"/>
    <x v="1"/>
    <s v="Laboratory Technician"/>
    <n v="2"/>
    <s v="Married"/>
    <x v="651"/>
    <n v="3974"/>
    <n v="6"/>
    <s v="Y"/>
    <s v="No"/>
    <n v="20"/>
    <n v="4"/>
    <n v="3"/>
    <n v="80"/>
    <n v="0"/>
    <n v="5"/>
    <n v="3"/>
    <n v="3"/>
    <n v="3"/>
    <n v="0"/>
    <n v="0"/>
    <n v="2"/>
    <x v="2"/>
    <x v="1"/>
  </r>
  <r>
    <n v="25"/>
    <s v="Yes"/>
    <s v="Travel_Rarely"/>
    <n v="867"/>
    <s v="Sales"/>
    <n v="19"/>
    <n v="2"/>
    <s v="Marketing"/>
    <n v="1"/>
    <n v="952"/>
    <n v="3"/>
    <s v="Male"/>
    <n v="36"/>
    <n v="2"/>
    <x v="1"/>
    <s v="Sales Representative"/>
    <n v="2"/>
    <s v="Married"/>
    <x v="652"/>
    <n v="18798"/>
    <n v="1"/>
    <s v="Y"/>
    <s v="Yes"/>
    <n v="18"/>
    <n v="3"/>
    <n v="3"/>
    <n v="80"/>
    <n v="3"/>
    <n v="1"/>
    <n v="2"/>
    <n v="3"/>
    <n v="1"/>
    <n v="0"/>
    <n v="0"/>
    <n v="0"/>
    <x v="4"/>
    <x v="1"/>
  </r>
  <r>
    <n v="40"/>
    <s v="No"/>
    <s v="Travel_Rarely"/>
    <n v="658"/>
    <s v="Sales"/>
    <n v="10"/>
    <n v="4"/>
    <s v="Marketing"/>
    <n v="1"/>
    <n v="954"/>
    <n v="1"/>
    <s v="Male"/>
    <n v="67"/>
    <n v="2"/>
    <x v="2"/>
    <s v="Sales Executive"/>
    <n v="2"/>
    <s v="Divorced"/>
    <x v="653"/>
    <n v="20652"/>
    <n v="2"/>
    <s v="Y"/>
    <s v="No"/>
    <n v="12"/>
    <n v="3"/>
    <n v="2"/>
    <n v="80"/>
    <n v="1"/>
    <n v="11"/>
    <n v="2"/>
    <n v="2"/>
    <n v="1"/>
    <n v="0"/>
    <n v="0"/>
    <n v="0"/>
    <x v="0"/>
    <x v="2"/>
  </r>
  <r>
    <n v="26"/>
    <s v="No"/>
    <s v="Travel_Frequently"/>
    <n v="1283"/>
    <s v="Sales"/>
    <n v="1"/>
    <n v="3"/>
    <s v="Medical"/>
    <n v="1"/>
    <n v="956"/>
    <n v="3"/>
    <s v="Male"/>
    <n v="52"/>
    <n v="2"/>
    <x v="0"/>
    <s v="Sales Executive"/>
    <n v="1"/>
    <s v="Single"/>
    <x v="654"/>
    <n v="11148"/>
    <n v="1"/>
    <s v="Y"/>
    <s v="No"/>
    <n v="12"/>
    <n v="3"/>
    <n v="2"/>
    <n v="80"/>
    <n v="0"/>
    <n v="7"/>
    <n v="2"/>
    <n v="3"/>
    <n v="7"/>
    <n v="7"/>
    <n v="0"/>
    <n v="7"/>
    <x v="2"/>
    <x v="0"/>
  </r>
  <r>
    <n v="41"/>
    <s v="No"/>
    <s v="Travel_Rarely"/>
    <n v="263"/>
    <s v="Research &amp; Development"/>
    <n v="6"/>
    <n v="3"/>
    <s v="Medical"/>
    <n v="1"/>
    <n v="957"/>
    <n v="4"/>
    <s v="Male"/>
    <n v="59"/>
    <n v="3"/>
    <x v="1"/>
    <s v="Laboratory Technician"/>
    <n v="1"/>
    <s v="Single"/>
    <x v="655"/>
    <n v="3119"/>
    <n v="2"/>
    <s v="Y"/>
    <s v="Yes"/>
    <n v="13"/>
    <n v="3"/>
    <n v="3"/>
    <n v="80"/>
    <n v="0"/>
    <n v="20"/>
    <n v="3"/>
    <n v="3"/>
    <n v="18"/>
    <n v="13"/>
    <n v="2"/>
    <n v="17"/>
    <x v="0"/>
    <x v="0"/>
  </r>
  <r>
    <n v="36"/>
    <s v="No"/>
    <s v="Travel_Rarely"/>
    <n v="938"/>
    <s v="Research &amp; Development"/>
    <n v="2"/>
    <n v="4"/>
    <s v="Medical"/>
    <n v="1"/>
    <n v="958"/>
    <n v="3"/>
    <s v="Male"/>
    <n v="79"/>
    <n v="3"/>
    <x v="1"/>
    <s v="Laboratory Technician"/>
    <n v="3"/>
    <s v="Single"/>
    <x v="656"/>
    <n v="12287"/>
    <n v="4"/>
    <s v="Y"/>
    <s v="No"/>
    <n v="21"/>
    <n v="4"/>
    <n v="3"/>
    <n v="80"/>
    <n v="0"/>
    <n v="16"/>
    <n v="6"/>
    <n v="3"/>
    <n v="11"/>
    <n v="8"/>
    <n v="3"/>
    <n v="9"/>
    <x v="0"/>
    <x v="1"/>
  </r>
  <r>
    <n v="19"/>
    <s v="Yes"/>
    <s v="Travel_Rarely"/>
    <n v="419"/>
    <s v="Sales"/>
    <n v="21"/>
    <n v="3"/>
    <s v="Other"/>
    <n v="1"/>
    <n v="959"/>
    <n v="4"/>
    <s v="Male"/>
    <n v="37"/>
    <n v="2"/>
    <x v="1"/>
    <s v="Sales Representative"/>
    <n v="2"/>
    <s v="Single"/>
    <x v="657"/>
    <n v="9947"/>
    <n v="1"/>
    <s v="Y"/>
    <s v="Yes"/>
    <n v="13"/>
    <n v="3"/>
    <n v="2"/>
    <n v="80"/>
    <n v="0"/>
    <n v="1"/>
    <n v="3"/>
    <n v="4"/>
    <n v="1"/>
    <n v="0"/>
    <n v="0"/>
    <n v="0"/>
    <x v="4"/>
    <x v="1"/>
  </r>
  <r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x v="1"/>
    <s v="Laboratory Technician"/>
    <n v="1"/>
    <s v="Single"/>
    <x v="620"/>
    <n v="13008"/>
    <n v="1"/>
    <s v="Y"/>
    <s v="No"/>
    <n v="19"/>
    <n v="3"/>
    <n v="2"/>
    <n v="80"/>
    <n v="0"/>
    <n v="1"/>
    <n v="2"/>
    <n v="3"/>
    <n v="1"/>
    <n v="0"/>
    <n v="0"/>
    <n v="0"/>
    <x v="4"/>
    <x v="1"/>
  </r>
  <r>
    <n v="31"/>
    <s v="No"/>
    <s v="Travel_Rarely"/>
    <n v="616"/>
    <s v="Research &amp; Development"/>
    <n v="12"/>
    <n v="3"/>
    <s v="Medical"/>
    <n v="1"/>
    <n v="961"/>
    <n v="4"/>
    <s v="Female"/>
    <n v="41"/>
    <n v="3"/>
    <x v="0"/>
    <s v="Healthcare Representative"/>
    <n v="4"/>
    <s v="Married"/>
    <x v="658"/>
    <n v="17369"/>
    <n v="0"/>
    <s v="Y"/>
    <s v="Yes"/>
    <n v="11"/>
    <n v="3"/>
    <n v="3"/>
    <n v="80"/>
    <n v="2"/>
    <n v="10"/>
    <n v="2"/>
    <n v="1"/>
    <n v="9"/>
    <n v="7"/>
    <n v="8"/>
    <n v="5"/>
    <x v="2"/>
    <x v="0"/>
  </r>
  <r>
    <n v="40"/>
    <s v="No"/>
    <s v="Travel_Frequently"/>
    <n v="1469"/>
    <s v="Research &amp; Development"/>
    <n v="9"/>
    <n v="4"/>
    <s v="Medical"/>
    <n v="1"/>
    <n v="964"/>
    <n v="4"/>
    <s v="Male"/>
    <n v="35"/>
    <n v="3"/>
    <x v="1"/>
    <s v="Research Scientist"/>
    <n v="2"/>
    <s v="Divorced"/>
    <x v="659"/>
    <n v="25063"/>
    <n v="8"/>
    <s v="Y"/>
    <s v="Yes"/>
    <n v="14"/>
    <n v="3"/>
    <n v="4"/>
    <n v="80"/>
    <n v="1"/>
    <n v="3"/>
    <n v="2"/>
    <n v="3"/>
    <n v="1"/>
    <n v="1"/>
    <n v="0"/>
    <n v="0"/>
    <x v="0"/>
    <x v="0"/>
  </r>
  <r>
    <n v="32"/>
    <s v="No"/>
    <s v="Travel_Rarely"/>
    <n v="498"/>
    <s v="Research &amp; Development"/>
    <n v="3"/>
    <n v="4"/>
    <s v="Medical"/>
    <n v="1"/>
    <n v="966"/>
    <n v="3"/>
    <s v="Female"/>
    <n v="93"/>
    <n v="3"/>
    <x v="0"/>
    <s v="Manufacturing Director"/>
    <n v="1"/>
    <s v="Married"/>
    <x v="660"/>
    <n v="13554"/>
    <n v="1"/>
    <s v="Y"/>
    <s v="No"/>
    <n v="12"/>
    <n v="3"/>
    <n v="3"/>
    <n v="80"/>
    <n v="1"/>
    <n v="8"/>
    <n v="2"/>
    <n v="4"/>
    <n v="8"/>
    <n v="7"/>
    <n v="6"/>
    <n v="3"/>
    <x v="2"/>
    <x v="0"/>
  </r>
  <r>
    <n v="36"/>
    <s v="Yes"/>
    <s v="Travel_Rarely"/>
    <n v="530"/>
    <s v="Sales"/>
    <n v="3"/>
    <n v="1"/>
    <s v="Life Sciences"/>
    <n v="1"/>
    <n v="967"/>
    <n v="3"/>
    <s v="Male"/>
    <n v="51"/>
    <n v="2"/>
    <x v="2"/>
    <s v="Sales Executive"/>
    <n v="4"/>
    <s v="Married"/>
    <x v="661"/>
    <n v="5518"/>
    <n v="1"/>
    <s v="Y"/>
    <s v="Yes"/>
    <n v="11"/>
    <n v="3"/>
    <n v="1"/>
    <n v="80"/>
    <n v="1"/>
    <n v="16"/>
    <n v="6"/>
    <n v="3"/>
    <n v="16"/>
    <n v="7"/>
    <n v="3"/>
    <n v="7"/>
    <x v="0"/>
    <x v="2"/>
  </r>
  <r>
    <n v="33"/>
    <s v="No"/>
    <s v="Travel_Rarely"/>
    <n v="1069"/>
    <s v="Research &amp; Development"/>
    <n v="1"/>
    <n v="3"/>
    <s v="Life Sciences"/>
    <n v="1"/>
    <n v="969"/>
    <n v="2"/>
    <s v="Female"/>
    <n v="42"/>
    <n v="2"/>
    <x v="0"/>
    <s v="Healthcare Representative"/>
    <n v="4"/>
    <s v="Single"/>
    <x v="662"/>
    <n v="12291"/>
    <n v="0"/>
    <s v="Y"/>
    <s v="No"/>
    <n v="14"/>
    <n v="3"/>
    <n v="1"/>
    <n v="80"/>
    <n v="0"/>
    <n v="6"/>
    <n v="3"/>
    <n v="3"/>
    <n v="5"/>
    <n v="0"/>
    <n v="1"/>
    <n v="4"/>
    <x v="2"/>
    <x v="0"/>
  </r>
  <r>
    <n v="37"/>
    <s v="Yes"/>
    <s v="Travel_Rarely"/>
    <n v="625"/>
    <s v="Sales"/>
    <n v="1"/>
    <n v="4"/>
    <s v="Life Sciences"/>
    <n v="1"/>
    <n v="970"/>
    <n v="1"/>
    <s v="Male"/>
    <n v="46"/>
    <n v="2"/>
    <x v="2"/>
    <s v="Sales Executive"/>
    <n v="3"/>
    <s v="Married"/>
    <x v="219"/>
    <n v="14922"/>
    <n v="5"/>
    <s v="Y"/>
    <s v="No"/>
    <n v="11"/>
    <n v="3"/>
    <n v="3"/>
    <n v="80"/>
    <n v="0"/>
    <n v="17"/>
    <n v="2"/>
    <n v="1"/>
    <n v="14"/>
    <n v="1"/>
    <n v="11"/>
    <n v="7"/>
    <x v="0"/>
    <x v="2"/>
  </r>
  <r>
    <n v="45"/>
    <s v="No"/>
    <s v="Non-Travel"/>
    <n v="805"/>
    <s v="Research &amp; Development"/>
    <n v="4"/>
    <n v="2"/>
    <s v="Life Sciences"/>
    <n v="1"/>
    <n v="972"/>
    <n v="3"/>
    <s v="Male"/>
    <n v="57"/>
    <n v="3"/>
    <x v="0"/>
    <s v="Laboratory Technician"/>
    <n v="2"/>
    <s v="Married"/>
    <x v="663"/>
    <n v="23163"/>
    <n v="1"/>
    <s v="Y"/>
    <s v="No"/>
    <n v="12"/>
    <n v="3"/>
    <n v="2"/>
    <n v="80"/>
    <n v="0"/>
    <n v="9"/>
    <n v="5"/>
    <n v="2"/>
    <n v="9"/>
    <n v="7"/>
    <n v="0"/>
    <n v="8"/>
    <x v="0"/>
    <x v="0"/>
  </r>
  <r>
    <n v="29"/>
    <s v="No"/>
    <s v="Travel_Frequently"/>
    <n v="1404"/>
    <s v="Sales"/>
    <n v="20"/>
    <n v="3"/>
    <s v="Technical Degree"/>
    <n v="1"/>
    <n v="974"/>
    <n v="3"/>
    <s v="Female"/>
    <n v="84"/>
    <n v="3"/>
    <x v="1"/>
    <s v="Sales Representative"/>
    <n v="4"/>
    <s v="Married"/>
    <x v="664"/>
    <n v="18203"/>
    <n v="1"/>
    <s v="Y"/>
    <s v="No"/>
    <n v="15"/>
    <n v="3"/>
    <n v="2"/>
    <n v="80"/>
    <n v="1"/>
    <n v="3"/>
    <n v="5"/>
    <n v="3"/>
    <n v="3"/>
    <n v="1"/>
    <n v="0"/>
    <n v="2"/>
    <x v="2"/>
    <x v="1"/>
  </r>
  <r>
    <n v="35"/>
    <s v="No"/>
    <s v="Travel_Rarely"/>
    <n v="1219"/>
    <s v="Sales"/>
    <n v="18"/>
    <n v="3"/>
    <s v="Medical"/>
    <n v="1"/>
    <n v="975"/>
    <n v="3"/>
    <s v="Female"/>
    <n v="86"/>
    <n v="3"/>
    <x v="0"/>
    <s v="Sales Executive"/>
    <n v="3"/>
    <s v="Married"/>
    <x v="665"/>
    <n v="6179"/>
    <n v="1"/>
    <s v="Y"/>
    <s v="No"/>
    <n v="16"/>
    <n v="3"/>
    <n v="2"/>
    <n v="80"/>
    <n v="0"/>
    <n v="5"/>
    <n v="3"/>
    <n v="3"/>
    <n v="5"/>
    <n v="2"/>
    <n v="1"/>
    <n v="0"/>
    <x v="2"/>
    <x v="0"/>
  </r>
  <r>
    <n v="52"/>
    <s v="No"/>
    <s v="Travel_Rarely"/>
    <n v="1053"/>
    <s v="Research &amp; Development"/>
    <n v="1"/>
    <n v="2"/>
    <s v="Life Sciences"/>
    <n v="1"/>
    <n v="976"/>
    <n v="4"/>
    <s v="Male"/>
    <n v="70"/>
    <n v="3"/>
    <x v="3"/>
    <s v="Manager"/>
    <n v="4"/>
    <s v="Married"/>
    <x v="666"/>
    <n v="13829"/>
    <n v="2"/>
    <s v="Y"/>
    <s v="No"/>
    <n v="15"/>
    <n v="3"/>
    <n v="2"/>
    <n v="80"/>
    <n v="1"/>
    <n v="26"/>
    <n v="2"/>
    <n v="2"/>
    <n v="9"/>
    <n v="8"/>
    <n v="7"/>
    <n v="8"/>
    <x v="1"/>
    <x v="3"/>
  </r>
  <r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x v="1"/>
    <s v="Research Scientist"/>
    <n v="3"/>
    <s v="Single"/>
    <x v="667"/>
    <n v="26227"/>
    <n v="4"/>
    <s v="Y"/>
    <s v="No"/>
    <n v="24"/>
    <n v="4"/>
    <n v="1"/>
    <n v="80"/>
    <n v="0"/>
    <n v="7"/>
    <n v="4"/>
    <n v="3"/>
    <n v="1"/>
    <n v="0"/>
    <n v="0"/>
    <n v="0"/>
    <x v="3"/>
    <x v="1"/>
  </r>
  <r>
    <n v="53"/>
    <s v="No"/>
    <s v="Travel_Rarely"/>
    <n v="1376"/>
    <s v="Sales"/>
    <n v="2"/>
    <n v="2"/>
    <s v="Medical"/>
    <n v="1"/>
    <n v="981"/>
    <n v="3"/>
    <s v="Male"/>
    <n v="45"/>
    <n v="3"/>
    <x v="3"/>
    <s v="Manager"/>
    <n v="3"/>
    <s v="Divorced"/>
    <x v="668"/>
    <n v="13938"/>
    <n v="6"/>
    <s v="Y"/>
    <s v="No"/>
    <n v="13"/>
    <n v="3"/>
    <n v="3"/>
    <n v="80"/>
    <n v="1"/>
    <n v="22"/>
    <n v="3"/>
    <n v="4"/>
    <n v="17"/>
    <n v="13"/>
    <n v="15"/>
    <n v="2"/>
    <x v="1"/>
    <x v="3"/>
  </r>
  <r>
    <n v="30"/>
    <s v="No"/>
    <s v="Travel_Rarely"/>
    <n v="231"/>
    <s v="Sales"/>
    <n v="8"/>
    <n v="2"/>
    <s v="Other"/>
    <n v="1"/>
    <n v="982"/>
    <n v="3"/>
    <s v="Male"/>
    <n v="62"/>
    <n v="3"/>
    <x v="2"/>
    <s v="Sales Executive"/>
    <n v="3"/>
    <s v="Divorced"/>
    <x v="669"/>
    <n v="9977"/>
    <n v="5"/>
    <s v="Y"/>
    <s v="No"/>
    <n v="11"/>
    <n v="3"/>
    <n v="1"/>
    <n v="80"/>
    <n v="1"/>
    <n v="10"/>
    <n v="2"/>
    <n v="4"/>
    <n v="8"/>
    <n v="4"/>
    <n v="7"/>
    <n v="7"/>
    <x v="2"/>
    <x v="2"/>
  </r>
  <r>
    <n v="38"/>
    <s v="No"/>
    <s v="Non-Travel"/>
    <n v="152"/>
    <s v="Sales"/>
    <n v="10"/>
    <n v="3"/>
    <s v="Technical Degree"/>
    <n v="1"/>
    <n v="983"/>
    <n v="3"/>
    <s v="Female"/>
    <n v="85"/>
    <n v="3"/>
    <x v="0"/>
    <s v="Sales Executive"/>
    <n v="4"/>
    <s v="Single"/>
    <x v="670"/>
    <n v="19899"/>
    <n v="1"/>
    <s v="Y"/>
    <s v="Yes"/>
    <n v="13"/>
    <n v="3"/>
    <n v="2"/>
    <n v="80"/>
    <n v="0"/>
    <n v="6"/>
    <n v="1"/>
    <n v="3"/>
    <n v="5"/>
    <n v="3"/>
    <n v="1"/>
    <n v="3"/>
    <x v="0"/>
    <x v="0"/>
  </r>
  <r>
    <n v="35"/>
    <s v="No"/>
    <s v="Travel_Rarely"/>
    <n v="882"/>
    <s v="Sales"/>
    <n v="3"/>
    <n v="4"/>
    <s v="Life Sciences"/>
    <n v="1"/>
    <n v="984"/>
    <n v="4"/>
    <s v="Male"/>
    <n v="92"/>
    <n v="3"/>
    <x v="2"/>
    <s v="Sales Executive"/>
    <n v="4"/>
    <s v="Divorced"/>
    <x v="671"/>
    <n v="6812"/>
    <n v="6"/>
    <s v="Y"/>
    <s v="No"/>
    <n v="13"/>
    <n v="3"/>
    <n v="2"/>
    <n v="80"/>
    <n v="1"/>
    <n v="12"/>
    <n v="2"/>
    <n v="3"/>
    <n v="10"/>
    <n v="9"/>
    <n v="0"/>
    <n v="8"/>
    <x v="2"/>
    <x v="2"/>
  </r>
  <r>
    <n v="39"/>
    <s v="No"/>
    <s v="Travel_Rarely"/>
    <n v="903"/>
    <s v="Sales"/>
    <n v="2"/>
    <n v="5"/>
    <s v="Life Sciences"/>
    <n v="1"/>
    <n v="985"/>
    <n v="1"/>
    <s v="Male"/>
    <n v="41"/>
    <n v="4"/>
    <x v="2"/>
    <s v="Sales Executive"/>
    <n v="3"/>
    <s v="Single"/>
    <x v="672"/>
    <n v="2560"/>
    <n v="0"/>
    <s v="Y"/>
    <s v="No"/>
    <n v="18"/>
    <n v="3"/>
    <n v="4"/>
    <n v="80"/>
    <n v="0"/>
    <n v="9"/>
    <n v="3"/>
    <n v="3"/>
    <n v="8"/>
    <n v="7"/>
    <n v="0"/>
    <n v="7"/>
    <x v="0"/>
    <x v="2"/>
  </r>
  <r>
    <n v="40"/>
    <s v="Yes"/>
    <s v="Non-Travel"/>
    <n v="1479"/>
    <s v="Sales"/>
    <n v="24"/>
    <n v="3"/>
    <s v="Life Sciences"/>
    <n v="1"/>
    <n v="986"/>
    <n v="2"/>
    <s v="Female"/>
    <n v="100"/>
    <n v="4"/>
    <x v="3"/>
    <s v="Sales Executive"/>
    <n v="2"/>
    <s v="Single"/>
    <x v="673"/>
    <n v="17071"/>
    <n v="4"/>
    <s v="Y"/>
    <s v="Yes"/>
    <n v="16"/>
    <n v="3"/>
    <n v="4"/>
    <n v="80"/>
    <n v="0"/>
    <n v="22"/>
    <n v="2"/>
    <n v="2"/>
    <n v="1"/>
    <n v="0"/>
    <n v="0"/>
    <n v="0"/>
    <x v="0"/>
    <x v="3"/>
  </r>
  <r>
    <n v="47"/>
    <s v="No"/>
    <s v="Travel_Frequently"/>
    <n v="1379"/>
    <s v="Research &amp; Development"/>
    <n v="16"/>
    <n v="4"/>
    <s v="Medical"/>
    <n v="1"/>
    <n v="987"/>
    <n v="3"/>
    <s v="Male"/>
    <n v="64"/>
    <n v="4"/>
    <x v="0"/>
    <s v="Manufacturing Director"/>
    <n v="3"/>
    <s v="Divorced"/>
    <x v="674"/>
    <n v="6759"/>
    <n v="1"/>
    <s v="Y"/>
    <s v="Yes"/>
    <n v="19"/>
    <n v="3"/>
    <n v="3"/>
    <n v="80"/>
    <n v="0"/>
    <n v="20"/>
    <n v="3"/>
    <n v="4"/>
    <n v="19"/>
    <n v="10"/>
    <n v="2"/>
    <n v="7"/>
    <x v="1"/>
    <x v="0"/>
  </r>
  <r>
    <n v="36"/>
    <s v="No"/>
    <s v="Non-Travel"/>
    <n v="1229"/>
    <s v="Sales"/>
    <n v="8"/>
    <n v="4"/>
    <s v="Technical Degree"/>
    <n v="1"/>
    <n v="990"/>
    <n v="1"/>
    <s v="Male"/>
    <n v="84"/>
    <n v="3"/>
    <x v="0"/>
    <s v="Sales Executive"/>
    <n v="4"/>
    <s v="Divorced"/>
    <x v="675"/>
    <n v="25952"/>
    <n v="4"/>
    <s v="Y"/>
    <s v="No"/>
    <n v="13"/>
    <n v="3"/>
    <n v="4"/>
    <n v="80"/>
    <n v="2"/>
    <n v="12"/>
    <n v="3"/>
    <n v="3"/>
    <n v="7"/>
    <n v="7"/>
    <n v="0"/>
    <n v="7"/>
    <x v="0"/>
    <x v="0"/>
  </r>
  <r>
    <n v="31"/>
    <s v="Yes"/>
    <s v="Non-Travel"/>
    <n v="335"/>
    <s v="Research &amp; Development"/>
    <n v="9"/>
    <n v="2"/>
    <s v="Medical"/>
    <n v="1"/>
    <n v="991"/>
    <n v="3"/>
    <s v="Male"/>
    <n v="46"/>
    <n v="2"/>
    <x v="1"/>
    <s v="Research Scientist"/>
    <n v="1"/>
    <s v="Single"/>
    <x v="676"/>
    <n v="10322"/>
    <n v="0"/>
    <s v="Y"/>
    <s v="Yes"/>
    <n v="22"/>
    <n v="4"/>
    <n v="1"/>
    <n v="80"/>
    <n v="0"/>
    <n v="4"/>
    <n v="0"/>
    <n v="3"/>
    <n v="3"/>
    <n v="2"/>
    <n v="1"/>
    <n v="2"/>
    <x v="2"/>
    <x v="1"/>
  </r>
  <r>
    <n v="33"/>
    <s v="No"/>
    <s v="Non-Travel"/>
    <n v="722"/>
    <s v="Sales"/>
    <n v="17"/>
    <n v="3"/>
    <s v="Life Sciences"/>
    <n v="1"/>
    <n v="992"/>
    <n v="4"/>
    <s v="Male"/>
    <n v="38"/>
    <n v="3"/>
    <x v="3"/>
    <s v="Manager"/>
    <n v="3"/>
    <s v="Single"/>
    <x v="677"/>
    <n v="20489"/>
    <n v="1"/>
    <s v="Y"/>
    <s v="No"/>
    <n v="11"/>
    <n v="3"/>
    <n v="4"/>
    <n v="80"/>
    <n v="0"/>
    <n v="10"/>
    <n v="2"/>
    <n v="3"/>
    <n v="10"/>
    <n v="8"/>
    <n v="6"/>
    <n v="0"/>
    <x v="2"/>
    <x v="3"/>
  </r>
  <r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x v="1"/>
    <s v="Research Scientist"/>
    <n v="1"/>
    <s v="Single"/>
    <x v="639"/>
    <n v="11479"/>
    <n v="6"/>
    <s v="Y"/>
    <s v="Yes"/>
    <n v="20"/>
    <n v="4"/>
    <n v="3"/>
    <n v="80"/>
    <n v="0"/>
    <n v="3"/>
    <n v="5"/>
    <n v="3"/>
    <n v="0"/>
    <n v="0"/>
    <n v="0"/>
    <n v="0"/>
    <x v="2"/>
    <x v="1"/>
  </r>
  <r>
    <n v="33"/>
    <s v="No"/>
    <s v="Travel_Rarely"/>
    <n v="461"/>
    <s v="Research &amp; Development"/>
    <n v="13"/>
    <n v="1"/>
    <s v="Life Sciences"/>
    <n v="1"/>
    <n v="995"/>
    <n v="2"/>
    <s v="Female"/>
    <n v="53"/>
    <n v="3"/>
    <x v="1"/>
    <s v="Research Scientist"/>
    <n v="4"/>
    <s v="Single"/>
    <x v="138"/>
    <n v="17241"/>
    <n v="3"/>
    <s v="Y"/>
    <s v="No"/>
    <n v="18"/>
    <n v="3"/>
    <n v="1"/>
    <n v="80"/>
    <n v="0"/>
    <n v="5"/>
    <n v="4"/>
    <n v="3"/>
    <n v="3"/>
    <n v="2"/>
    <n v="0"/>
    <n v="2"/>
    <x v="2"/>
    <x v="0"/>
  </r>
  <r>
    <n v="45"/>
    <s v="No"/>
    <s v="Travel_Rarely"/>
    <n v="974"/>
    <s v="Research &amp; Development"/>
    <n v="1"/>
    <n v="4"/>
    <s v="Medical"/>
    <n v="1"/>
    <n v="996"/>
    <n v="4"/>
    <s v="Female"/>
    <n v="91"/>
    <n v="3"/>
    <x v="1"/>
    <s v="Laboratory Technician"/>
    <n v="4"/>
    <s v="Divorced"/>
    <x v="678"/>
    <n v="11005"/>
    <n v="3"/>
    <s v="Y"/>
    <s v="No"/>
    <n v="14"/>
    <n v="3"/>
    <n v="4"/>
    <n v="80"/>
    <n v="2"/>
    <n v="8"/>
    <n v="2"/>
    <n v="3"/>
    <n v="5"/>
    <n v="3"/>
    <n v="0"/>
    <n v="2"/>
    <x v="0"/>
    <x v="1"/>
  </r>
  <r>
    <n v="50"/>
    <s v="No"/>
    <s v="Travel_Rarely"/>
    <n v="1126"/>
    <s v="Research &amp; Development"/>
    <n v="1"/>
    <n v="2"/>
    <s v="Medical"/>
    <n v="1"/>
    <n v="997"/>
    <n v="4"/>
    <s v="Male"/>
    <n v="66"/>
    <n v="3"/>
    <x v="3"/>
    <s v="Research Director"/>
    <n v="4"/>
    <s v="Divorced"/>
    <x v="679"/>
    <n v="6615"/>
    <n v="9"/>
    <s v="Y"/>
    <s v="No"/>
    <n v="22"/>
    <n v="4"/>
    <n v="3"/>
    <n v="80"/>
    <n v="1"/>
    <n v="32"/>
    <n v="1"/>
    <n v="2"/>
    <n v="5"/>
    <n v="4"/>
    <n v="1"/>
    <n v="3"/>
    <x v="1"/>
    <x v="3"/>
  </r>
  <r>
    <n v="33"/>
    <s v="No"/>
    <s v="Travel_Frequently"/>
    <n v="827"/>
    <s v="Research &amp; Development"/>
    <n v="1"/>
    <n v="4"/>
    <s v="Other"/>
    <n v="1"/>
    <n v="998"/>
    <n v="3"/>
    <s v="Female"/>
    <n v="84"/>
    <n v="4"/>
    <x v="0"/>
    <s v="Healthcare Representative"/>
    <n v="2"/>
    <s v="Married"/>
    <x v="680"/>
    <n v="20161"/>
    <n v="1"/>
    <s v="Y"/>
    <s v="Yes"/>
    <n v="13"/>
    <n v="3"/>
    <n v="1"/>
    <n v="80"/>
    <n v="1"/>
    <n v="6"/>
    <n v="2"/>
    <n v="3"/>
    <n v="6"/>
    <n v="5"/>
    <n v="1"/>
    <n v="2"/>
    <x v="2"/>
    <x v="0"/>
  </r>
  <r>
    <n v="41"/>
    <s v="No"/>
    <s v="Travel_Frequently"/>
    <n v="840"/>
    <s v="Research &amp; Development"/>
    <n v="9"/>
    <n v="3"/>
    <s v="Medical"/>
    <n v="1"/>
    <n v="999"/>
    <n v="1"/>
    <s v="Male"/>
    <n v="64"/>
    <n v="3"/>
    <x v="4"/>
    <s v="Research Director"/>
    <n v="3"/>
    <s v="Divorced"/>
    <x v="681"/>
    <n v="3735"/>
    <n v="2"/>
    <s v="Y"/>
    <s v="No"/>
    <n v="17"/>
    <n v="3"/>
    <n v="2"/>
    <n v="80"/>
    <n v="1"/>
    <n v="21"/>
    <n v="2"/>
    <n v="4"/>
    <n v="18"/>
    <n v="16"/>
    <n v="0"/>
    <n v="11"/>
    <x v="0"/>
    <x v="3"/>
  </r>
  <r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x v="1"/>
    <s v="Laboratory Technician"/>
    <n v="2"/>
    <s v="Married"/>
    <x v="682"/>
    <n v="12086"/>
    <n v="9"/>
    <s v="Y"/>
    <s v="No"/>
    <n v="14"/>
    <n v="3"/>
    <n v="2"/>
    <n v="80"/>
    <n v="1"/>
    <n v="4"/>
    <n v="2"/>
    <n v="3"/>
    <n v="2"/>
    <n v="2"/>
    <n v="2"/>
    <n v="2"/>
    <x v="2"/>
    <x v="1"/>
  </r>
  <r>
    <n v="45"/>
    <s v="No"/>
    <s v="Non-Travel"/>
    <n v="248"/>
    <s v="Research &amp; Development"/>
    <n v="23"/>
    <n v="2"/>
    <s v="Life Sciences"/>
    <n v="1"/>
    <n v="1002"/>
    <n v="4"/>
    <s v="Male"/>
    <n v="42"/>
    <n v="3"/>
    <x v="0"/>
    <s v="Laboratory Technician"/>
    <n v="1"/>
    <s v="Married"/>
    <x v="683"/>
    <n v="14039"/>
    <n v="1"/>
    <s v="Y"/>
    <s v="Yes"/>
    <n v="15"/>
    <n v="3"/>
    <n v="3"/>
    <n v="80"/>
    <n v="1"/>
    <n v="9"/>
    <n v="2"/>
    <n v="3"/>
    <n v="9"/>
    <n v="8"/>
    <n v="0"/>
    <n v="8"/>
    <x v="0"/>
    <x v="0"/>
  </r>
  <r>
    <n v="47"/>
    <s v="No"/>
    <s v="Travel_Rarely"/>
    <n v="955"/>
    <s v="Sales"/>
    <n v="4"/>
    <n v="2"/>
    <s v="Life Sciences"/>
    <n v="1"/>
    <n v="1003"/>
    <n v="4"/>
    <s v="Female"/>
    <n v="83"/>
    <n v="3"/>
    <x v="0"/>
    <s v="Sales Executive"/>
    <n v="4"/>
    <s v="Single"/>
    <x v="684"/>
    <n v="8571"/>
    <n v="1"/>
    <s v="Y"/>
    <s v="Yes"/>
    <n v="17"/>
    <n v="3"/>
    <n v="3"/>
    <n v="80"/>
    <n v="0"/>
    <n v="9"/>
    <n v="0"/>
    <n v="3"/>
    <n v="9"/>
    <n v="0"/>
    <n v="0"/>
    <n v="7"/>
    <x v="1"/>
    <x v="0"/>
  </r>
  <r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x v="1"/>
    <s v="Research Scientist"/>
    <n v="3"/>
    <s v="Married"/>
    <x v="685"/>
    <n v="11539"/>
    <n v="4"/>
    <s v="Y"/>
    <s v="Yes"/>
    <n v="11"/>
    <n v="3"/>
    <n v="2"/>
    <n v="80"/>
    <n v="0"/>
    <n v="7"/>
    <n v="2"/>
    <n v="3"/>
    <n v="5"/>
    <n v="2"/>
    <n v="0"/>
    <n v="1"/>
    <x v="2"/>
    <x v="1"/>
  </r>
  <r>
    <n v="50"/>
    <s v="No"/>
    <s v="Travel_Rarely"/>
    <n v="939"/>
    <s v="Research &amp; Development"/>
    <n v="24"/>
    <n v="3"/>
    <s v="Life Sciences"/>
    <n v="1"/>
    <n v="1005"/>
    <n v="4"/>
    <s v="Male"/>
    <n v="95"/>
    <n v="3"/>
    <x v="3"/>
    <s v="Manufacturing Director"/>
    <n v="3"/>
    <s v="Married"/>
    <x v="686"/>
    <n v="4161"/>
    <n v="3"/>
    <s v="Y"/>
    <s v="Yes"/>
    <n v="18"/>
    <n v="3"/>
    <n v="4"/>
    <n v="80"/>
    <n v="1"/>
    <n v="22"/>
    <n v="2"/>
    <n v="3"/>
    <n v="12"/>
    <n v="11"/>
    <n v="1"/>
    <n v="5"/>
    <x v="1"/>
    <x v="3"/>
  </r>
  <r>
    <n v="38"/>
    <s v="No"/>
    <s v="Travel_Frequently"/>
    <n v="1391"/>
    <s v="Research &amp; Development"/>
    <n v="10"/>
    <n v="1"/>
    <s v="Medical"/>
    <n v="1"/>
    <n v="1006"/>
    <n v="3"/>
    <s v="Male"/>
    <n v="66"/>
    <n v="3"/>
    <x v="1"/>
    <s v="Research Scientist"/>
    <n v="3"/>
    <s v="Married"/>
    <x v="687"/>
    <n v="12127"/>
    <n v="0"/>
    <s v="Y"/>
    <s v="No"/>
    <n v="17"/>
    <n v="3"/>
    <n v="2"/>
    <n v="80"/>
    <n v="1"/>
    <n v="3"/>
    <n v="0"/>
    <n v="2"/>
    <n v="2"/>
    <n v="1"/>
    <n v="0"/>
    <n v="2"/>
    <x v="0"/>
    <x v="1"/>
  </r>
  <r>
    <n v="46"/>
    <s v="No"/>
    <s v="Travel_Rarely"/>
    <n v="566"/>
    <s v="Research &amp; Development"/>
    <n v="7"/>
    <n v="2"/>
    <s v="Medical"/>
    <n v="1"/>
    <n v="1007"/>
    <n v="4"/>
    <s v="Male"/>
    <n v="75"/>
    <n v="3"/>
    <x v="2"/>
    <s v="Manufacturing Director"/>
    <n v="3"/>
    <s v="Divorced"/>
    <x v="688"/>
    <n v="24208"/>
    <n v="6"/>
    <s v="Y"/>
    <s v="No"/>
    <n v="13"/>
    <n v="3"/>
    <n v="2"/>
    <n v="80"/>
    <n v="1"/>
    <n v="13"/>
    <n v="3"/>
    <n v="3"/>
    <n v="8"/>
    <n v="7"/>
    <n v="0"/>
    <n v="7"/>
    <x v="1"/>
    <x v="2"/>
  </r>
  <r>
    <n v="24"/>
    <s v="No"/>
    <s v="Travel_Rarely"/>
    <n v="1206"/>
    <s v="Research &amp; Development"/>
    <n v="17"/>
    <n v="1"/>
    <s v="Medical"/>
    <n v="1"/>
    <n v="1009"/>
    <n v="4"/>
    <s v="Female"/>
    <n v="41"/>
    <n v="2"/>
    <x v="0"/>
    <s v="Manufacturing Director"/>
    <n v="3"/>
    <s v="Divorced"/>
    <x v="689"/>
    <n v="24117"/>
    <n v="1"/>
    <s v="Y"/>
    <s v="No"/>
    <n v="15"/>
    <n v="3"/>
    <n v="2"/>
    <n v="80"/>
    <n v="2"/>
    <n v="5"/>
    <n v="6"/>
    <n v="3"/>
    <n v="4"/>
    <n v="2"/>
    <n v="3"/>
    <n v="2"/>
    <x v="4"/>
    <x v="0"/>
  </r>
  <r>
    <n v="35"/>
    <s v="Yes"/>
    <s v="Travel_Rarely"/>
    <n v="622"/>
    <s v="Research &amp; Development"/>
    <n v="14"/>
    <n v="4"/>
    <s v="Other"/>
    <n v="1"/>
    <n v="1010"/>
    <n v="3"/>
    <s v="Male"/>
    <n v="39"/>
    <n v="2"/>
    <x v="1"/>
    <s v="Laboratory Technician"/>
    <n v="2"/>
    <s v="Divorced"/>
    <x v="690"/>
    <n v="10074"/>
    <n v="1"/>
    <s v="Y"/>
    <s v="Yes"/>
    <n v="24"/>
    <n v="4"/>
    <n v="4"/>
    <n v="80"/>
    <n v="1"/>
    <n v="5"/>
    <n v="2"/>
    <n v="1"/>
    <n v="4"/>
    <n v="2"/>
    <n v="0"/>
    <n v="2"/>
    <x v="2"/>
    <x v="0"/>
  </r>
  <r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x v="0"/>
    <s v="Manufacturing Director"/>
    <n v="1"/>
    <s v="Married"/>
    <x v="691"/>
    <n v="11275"/>
    <n v="1"/>
    <s v="Y"/>
    <s v="No"/>
    <n v="12"/>
    <n v="3"/>
    <n v="3"/>
    <n v="80"/>
    <n v="1"/>
    <n v="4"/>
    <n v="1"/>
    <n v="3"/>
    <n v="4"/>
    <n v="3"/>
    <n v="0"/>
    <n v="3"/>
    <x v="2"/>
    <x v="0"/>
  </r>
  <r>
    <n v="18"/>
    <s v="No"/>
    <s v="Non-Travel"/>
    <n v="287"/>
    <s v="Research &amp; Development"/>
    <n v="5"/>
    <n v="2"/>
    <s v="Life Sciences"/>
    <n v="1"/>
    <n v="1012"/>
    <n v="2"/>
    <s v="Male"/>
    <n v="73"/>
    <n v="3"/>
    <x v="1"/>
    <s v="Research Scientist"/>
    <n v="4"/>
    <s v="Single"/>
    <x v="692"/>
    <n v="13493"/>
    <n v="1"/>
    <s v="Y"/>
    <s v="No"/>
    <n v="15"/>
    <n v="3"/>
    <n v="4"/>
    <n v="80"/>
    <n v="0"/>
    <n v="0"/>
    <n v="2"/>
    <n v="3"/>
    <n v="0"/>
    <n v="0"/>
    <n v="0"/>
    <n v="0"/>
    <x v="4"/>
    <x v="1"/>
  </r>
  <r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x v="2"/>
    <s v="Manufacturing Director"/>
    <n v="3"/>
    <s v="Married"/>
    <x v="693"/>
    <n v="13943"/>
    <n v="8"/>
    <s v="Y"/>
    <s v="No"/>
    <n v="11"/>
    <n v="3"/>
    <n v="3"/>
    <n v="80"/>
    <n v="1"/>
    <n v="22"/>
    <n v="2"/>
    <n v="3"/>
    <n v="10"/>
    <n v="7"/>
    <n v="0"/>
    <n v="8"/>
    <x v="1"/>
    <x v="2"/>
  </r>
  <r>
    <n v="35"/>
    <s v="No"/>
    <s v="Travel_Rarely"/>
    <n v="583"/>
    <s v="Research &amp; Development"/>
    <n v="25"/>
    <n v="4"/>
    <s v="Medical"/>
    <n v="1"/>
    <n v="1014"/>
    <n v="3"/>
    <s v="Female"/>
    <n v="57"/>
    <n v="3"/>
    <x v="2"/>
    <s v="Healthcare Representative"/>
    <n v="3"/>
    <s v="Divorced"/>
    <x v="694"/>
    <n v="6975"/>
    <n v="1"/>
    <s v="Y"/>
    <s v="Yes"/>
    <n v="11"/>
    <n v="3"/>
    <n v="3"/>
    <n v="80"/>
    <n v="1"/>
    <n v="16"/>
    <n v="3"/>
    <n v="2"/>
    <n v="16"/>
    <n v="10"/>
    <n v="10"/>
    <n v="1"/>
    <x v="2"/>
    <x v="2"/>
  </r>
  <r>
    <n v="30"/>
    <s v="No"/>
    <s v="Travel_Rarely"/>
    <n v="153"/>
    <s v="Research &amp; Development"/>
    <n v="8"/>
    <n v="2"/>
    <s v="Life Sciences"/>
    <n v="1"/>
    <n v="1015"/>
    <n v="2"/>
    <s v="Female"/>
    <n v="73"/>
    <n v="4"/>
    <x v="2"/>
    <s v="Research Director"/>
    <n v="1"/>
    <s v="Married"/>
    <x v="695"/>
    <n v="17802"/>
    <n v="0"/>
    <s v="Y"/>
    <s v="Yes"/>
    <n v="12"/>
    <n v="3"/>
    <n v="3"/>
    <n v="80"/>
    <n v="3"/>
    <n v="9"/>
    <n v="4"/>
    <n v="2"/>
    <n v="8"/>
    <n v="7"/>
    <n v="1"/>
    <n v="7"/>
    <x v="2"/>
    <x v="2"/>
  </r>
  <r>
    <n v="20"/>
    <s v="Yes"/>
    <s v="Travel_Rarely"/>
    <n v="1097"/>
    <s v="Research &amp; Development"/>
    <n v="11"/>
    <n v="3"/>
    <s v="Medical"/>
    <n v="1"/>
    <n v="1016"/>
    <n v="4"/>
    <s v="Female"/>
    <n v="98"/>
    <n v="2"/>
    <x v="1"/>
    <s v="Research Scientist"/>
    <n v="1"/>
    <s v="Single"/>
    <x v="696"/>
    <n v="18275"/>
    <n v="1"/>
    <s v="Y"/>
    <s v="Yes"/>
    <n v="15"/>
    <n v="3"/>
    <n v="1"/>
    <n v="80"/>
    <n v="0"/>
    <n v="1"/>
    <n v="2"/>
    <n v="3"/>
    <n v="1"/>
    <n v="0"/>
    <n v="0"/>
    <n v="0"/>
    <x v="4"/>
    <x v="1"/>
  </r>
  <r>
    <n v="30"/>
    <s v="Yes"/>
    <s v="Travel_Frequently"/>
    <n v="109"/>
    <s v="Research &amp; Development"/>
    <n v="5"/>
    <n v="3"/>
    <s v="Medical"/>
    <n v="1"/>
    <n v="1017"/>
    <n v="2"/>
    <s v="Female"/>
    <n v="60"/>
    <n v="3"/>
    <x v="1"/>
    <s v="Laboratory Technician"/>
    <n v="2"/>
    <s v="Single"/>
    <x v="697"/>
    <n v="25725"/>
    <n v="0"/>
    <s v="Y"/>
    <s v="No"/>
    <n v="17"/>
    <n v="3"/>
    <n v="1"/>
    <n v="80"/>
    <n v="0"/>
    <n v="4"/>
    <n v="3"/>
    <n v="3"/>
    <n v="3"/>
    <n v="2"/>
    <n v="1"/>
    <n v="2"/>
    <x v="2"/>
    <x v="1"/>
  </r>
  <r>
    <n v="26"/>
    <s v="No"/>
    <s v="Travel_Rarely"/>
    <n v="1066"/>
    <s v="Research &amp; Development"/>
    <n v="2"/>
    <n v="2"/>
    <s v="Medical"/>
    <n v="1"/>
    <n v="1018"/>
    <n v="4"/>
    <s v="Male"/>
    <n v="32"/>
    <n v="4"/>
    <x v="0"/>
    <s v="Manufacturing Director"/>
    <n v="4"/>
    <s v="Married"/>
    <x v="698"/>
    <n v="3334"/>
    <n v="1"/>
    <s v="Y"/>
    <s v="No"/>
    <n v="12"/>
    <n v="3"/>
    <n v="2"/>
    <n v="80"/>
    <n v="0"/>
    <n v="8"/>
    <n v="2"/>
    <n v="3"/>
    <n v="8"/>
    <n v="7"/>
    <n v="1"/>
    <n v="3"/>
    <x v="2"/>
    <x v="0"/>
  </r>
  <r>
    <n v="22"/>
    <s v="No"/>
    <s v="Travel_Rarely"/>
    <n v="217"/>
    <s v="Research &amp; Development"/>
    <n v="8"/>
    <n v="1"/>
    <s v="Life Sciences"/>
    <n v="1"/>
    <n v="1019"/>
    <n v="2"/>
    <s v="Male"/>
    <n v="94"/>
    <n v="1"/>
    <x v="1"/>
    <s v="Laboratory Technician"/>
    <n v="1"/>
    <s v="Married"/>
    <x v="163"/>
    <n v="6881"/>
    <n v="1"/>
    <s v="Y"/>
    <s v="No"/>
    <n v="15"/>
    <n v="3"/>
    <n v="1"/>
    <n v="80"/>
    <n v="1"/>
    <n v="4"/>
    <n v="3"/>
    <n v="2"/>
    <n v="4"/>
    <n v="3"/>
    <n v="1"/>
    <n v="1"/>
    <x v="4"/>
    <x v="1"/>
  </r>
  <r>
    <n v="48"/>
    <s v="No"/>
    <s v="Travel_Rarely"/>
    <n v="277"/>
    <s v="Research &amp; Development"/>
    <n v="6"/>
    <n v="3"/>
    <s v="Life Sciences"/>
    <n v="1"/>
    <n v="1022"/>
    <n v="1"/>
    <s v="Male"/>
    <n v="97"/>
    <n v="2"/>
    <x v="0"/>
    <s v="Healthcare Representative"/>
    <n v="3"/>
    <s v="Single"/>
    <x v="699"/>
    <n v="13119"/>
    <n v="2"/>
    <s v="Y"/>
    <s v="No"/>
    <n v="13"/>
    <n v="3"/>
    <n v="4"/>
    <n v="80"/>
    <n v="0"/>
    <n v="19"/>
    <n v="0"/>
    <n v="3"/>
    <n v="2"/>
    <n v="2"/>
    <n v="2"/>
    <n v="2"/>
    <x v="1"/>
    <x v="0"/>
  </r>
  <r>
    <n v="48"/>
    <s v="No"/>
    <s v="Travel_Rarely"/>
    <n v="1355"/>
    <s v="Research &amp; Development"/>
    <n v="4"/>
    <n v="4"/>
    <s v="Life Sciences"/>
    <n v="1"/>
    <n v="1024"/>
    <n v="3"/>
    <s v="Male"/>
    <n v="78"/>
    <n v="2"/>
    <x v="2"/>
    <s v="Healthcare Representative"/>
    <n v="3"/>
    <s v="Single"/>
    <x v="700"/>
    <n v="22245"/>
    <n v="7"/>
    <s v="Y"/>
    <s v="No"/>
    <n v="14"/>
    <n v="3"/>
    <n v="2"/>
    <n v="80"/>
    <n v="0"/>
    <n v="27"/>
    <n v="3"/>
    <n v="3"/>
    <n v="15"/>
    <n v="11"/>
    <n v="4"/>
    <n v="8"/>
    <x v="1"/>
    <x v="2"/>
  </r>
  <r>
    <n v="41"/>
    <s v="No"/>
    <s v="Travel_Rarely"/>
    <n v="549"/>
    <s v="Research &amp; Development"/>
    <n v="7"/>
    <n v="2"/>
    <s v="Medical"/>
    <n v="1"/>
    <n v="1025"/>
    <n v="4"/>
    <s v="Female"/>
    <n v="42"/>
    <n v="3"/>
    <x v="0"/>
    <s v="Manufacturing Director"/>
    <n v="3"/>
    <s v="Single"/>
    <x v="701"/>
    <n v="23371"/>
    <n v="6"/>
    <s v="Y"/>
    <s v="No"/>
    <n v="14"/>
    <n v="3"/>
    <n v="2"/>
    <n v="80"/>
    <n v="0"/>
    <n v="8"/>
    <n v="6"/>
    <n v="3"/>
    <n v="2"/>
    <n v="2"/>
    <n v="2"/>
    <n v="1"/>
    <x v="0"/>
    <x v="0"/>
  </r>
  <r>
    <n v="39"/>
    <s v="No"/>
    <s v="Travel_Rarely"/>
    <n v="466"/>
    <s v="Research &amp; Development"/>
    <n v="1"/>
    <n v="1"/>
    <s v="Life Sciences"/>
    <n v="1"/>
    <n v="1026"/>
    <n v="4"/>
    <s v="Female"/>
    <n v="65"/>
    <n v="2"/>
    <x v="3"/>
    <s v="Manufacturing Director"/>
    <n v="4"/>
    <s v="Married"/>
    <x v="702"/>
    <n v="7060"/>
    <n v="1"/>
    <s v="Y"/>
    <s v="No"/>
    <n v="16"/>
    <n v="3"/>
    <n v="3"/>
    <n v="80"/>
    <n v="1"/>
    <n v="21"/>
    <n v="3"/>
    <n v="3"/>
    <n v="21"/>
    <n v="6"/>
    <n v="11"/>
    <n v="8"/>
    <x v="0"/>
    <x v="3"/>
  </r>
  <r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x v="0"/>
    <s v="Manufacturing Director"/>
    <n v="4"/>
    <s v="Married"/>
    <x v="703"/>
    <n v="4658"/>
    <n v="0"/>
    <s v="Y"/>
    <s v="No"/>
    <n v="18"/>
    <n v="3"/>
    <n v="2"/>
    <n v="80"/>
    <n v="1"/>
    <n v="4"/>
    <n v="2"/>
    <n v="3"/>
    <n v="3"/>
    <n v="2"/>
    <n v="2"/>
    <n v="2"/>
    <x v="2"/>
    <x v="0"/>
  </r>
  <r>
    <n v="35"/>
    <s v="No"/>
    <s v="Travel_Rarely"/>
    <n v="802"/>
    <s v="Research &amp; Development"/>
    <n v="10"/>
    <n v="3"/>
    <s v="Other"/>
    <n v="1"/>
    <n v="1028"/>
    <n v="2"/>
    <s v="Male"/>
    <n v="45"/>
    <n v="3"/>
    <x v="1"/>
    <s v="Laboratory Technician"/>
    <n v="4"/>
    <s v="Divorced"/>
    <x v="704"/>
    <n v="9541"/>
    <n v="1"/>
    <s v="Y"/>
    <s v="No"/>
    <n v="20"/>
    <n v="4"/>
    <n v="1"/>
    <n v="80"/>
    <n v="1"/>
    <n v="3"/>
    <n v="4"/>
    <n v="2"/>
    <n v="3"/>
    <n v="2"/>
    <n v="1"/>
    <n v="2"/>
    <x v="2"/>
    <x v="0"/>
  </r>
  <r>
    <n v="42"/>
    <s v="No"/>
    <s v="Travel_Rarely"/>
    <n v="265"/>
    <s v="Sales"/>
    <n v="5"/>
    <n v="2"/>
    <s v="Marketing"/>
    <n v="1"/>
    <n v="1029"/>
    <n v="4"/>
    <s v="Male"/>
    <n v="90"/>
    <n v="3"/>
    <x v="4"/>
    <s v="Manager"/>
    <n v="3"/>
    <s v="Married"/>
    <x v="705"/>
    <n v="7770"/>
    <n v="6"/>
    <s v="Y"/>
    <s v="No"/>
    <n v="13"/>
    <n v="3"/>
    <n v="2"/>
    <n v="80"/>
    <n v="0"/>
    <n v="21"/>
    <n v="3"/>
    <n v="4"/>
    <n v="1"/>
    <n v="0"/>
    <n v="0"/>
    <n v="0"/>
    <x v="0"/>
    <x v="3"/>
  </r>
  <r>
    <n v="50"/>
    <s v="No"/>
    <s v="Travel_Rarely"/>
    <n v="804"/>
    <s v="Research &amp; Development"/>
    <n v="9"/>
    <n v="3"/>
    <s v="Life Sciences"/>
    <n v="1"/>
    <n v="1030"/>
    <n v="1"/>
    <s v="Male"/>
    <n v="64"/>
    <n v="3"/>
    <x v="1"/>
    <s v="Laboratory Technician"/>
    <n v="4"/>
    <s v="Married"/>
    <x v="631"/>
    <n v="20165"/>
    <n v="4"/>
    <s v="Y"/>
    <s v="No"/>
    <n v="18"/>
    <n v="3"/>
    <n v="2"/>
    <n v="80"/>
    <n v="0"/>
    <n v="8"/>
    <n v="5"/>
    <n v="3"/>
    <n v="1"/>
    <n v="0"/>
    <n v="0"/>
    <n v="0"/>
    <x v="1"/>
    <x v="1"/>
  </r>
  <r>
    <n v="59"/>
    <s v="No"/>
    <s v="Travel_Rarely"/>
    <n v="715"/>
    <s v="Research &amp; Development"/>
    <n v="2"/>
    <n v="3"/>
    <s v="Life Sciences"/>
    <n v="1"/>
    <n v="1032"/>
    <n v="3"/>
    <s v="Female"/>
    <n v="69"/>
    <n v="2"/>
    <x v="3"/>
    <s v="Manufacturing Director"/>
    <n v="4"/>
    <s v="Single"/>
    <x v="706"/>
    <n v="21829"/>
    <n v="3"/>
    <s v="Y"/>
    <s v="Yes"/>
    <n v="13"/>
    <n v="3"/>
    <n v="1"/>
    <n v="80"/>
    <n v="0"/>
    <n v="30"/>
    <n v="4"/>
    <n v="3"/>
    <n v="5"/>
    <n v="3"/>
    <n v="4"/>
    <n v="3"/>
    <x v="3"/>
    <x v="3"/>
  </r>
  <r>
    <n v="37"/>
    <s v="Yes"/>
    <s v="Travel_Rarely"/>
    <n v="1141"/>
    <s v="Research &amp; Development"/>
    <n v="11"/>
    <n v="2"/>
    <s v="Medical"/>
    <n v="1"/>
    <n v="1033"/>
    <n v="1"/>
    <s v="Female"/>
    <n v="61"/>
    <n v="1"/>
    <x v="0"/>
    <s v="Healthcare Representative"/>
    <n v="2"/>
    <s v="Married"/>
    <x v="707"/>
    <n v="14382"/>
    <n v="5"/>
    <s v="Y"/>
    <s v="No"/>
    <n v="15"/>
    <n v="3"/>
    <n v="1"/>
    <n v="80"/>
    <n v="0"/>
    <n v="15"/>
    <n v="2"/>
    <n v="1"/>
    <n v="1"/>
    <n v="0"/>
    <n v="0"/>
    <n v="0"/>
    <x v="0"/>
    <x v="0"/>
  </r>
  <r>
    <n v="55"/>
    <s v="No"/>
    <s v="Travel_Frequently"/>
    <n v="135"/>
    <s v="Research &amp; Development"/>
    <n v="18"/>
    <n v="4"/>
    <s v="Medical"/>
    <n v="1"/>
    <n v="1034"/>
    <n v="3"/>
    <s v="Male"/>
    <n v="62"/>
    <n v="3"/>
    <x v="0"/>
    <s v="Healthcare Representative"/>
    <n v="2"/>
    <s v="Married"/>
    <x v="708"/>
    <n v="12992"/>
    <n v="3"/>
    <s v="Y"/>
    <s v="Yes"/>
    <n v="14"/>
    <n v="3"/>
    <n v="4"/>
    <n v="80"/>
    <n v="2"/>
    <n v="17"/>
    <n v="3"/>
    <n v="3"/>
    <n v="8"/>
    <n v="7"/>
    <n v="6"/>
    <n v="7"/>
    <x v="1"/>
    <x v="0"/>
  </r>
  <r>
    <n v="41"/>
    <s v="No"/>
    <s v="Non-Travel"/>
    <n v="247"/>
    <s v="Research &amp; Development"/>
    <n v="7"/>
    <n v="1"/>
    <s v="Life Sciences"/>
    <n v="1"/>
    <n v="1035"/>
    <n v="2"/>
    <s v="Female"/>
    <n v="55"/>
    <n v="1"/>
    <x v="4"/>
    <s v="Research Director"/>
    <n v="3"/>
    <s v="Divorced"/>
    <x v="709"/>
    <n v="20284"/>
    <n v="1"/>
    <s v="Y"/>
    <s v="No"/>
    <n v="22"/>
    <n v="4"/>
    <n v="2"/>
    <n v="80"/>
    <n v="2"/>
    <n v="21"/>
    <n v="3"/>
    <n v="3"/>
    <n v="21"/>
    <n v="16"/>
    <n v="5"/>
    <n v="10"/>
    <x v="0"/>
    <x v="3"/>
  </r>
  <r>
    <n v="38"/>
    <s v="No"/>
    <s v="Travel_Rarely"/>
    <n v="1035"/>
    <s v="Sales"/>
    <n v="3"/>
    <n v="4"/>
    <s v="Life Sciences"/>
    <n v="1"/>
    <n v="1036"/>
    <n v="2"/>
    <s v="Male"/>
    <n v="42"/>
    <n v="3"/>
    <x v="0"/>
    <s v="Sales Executive"/>
    <n v="4"/>
    <s v="Single"/>
    <x v="710"/>
    <n v="4981"/>
    <n v="8"/>
    <s v="Y"/>
    <s v="Yes"/>
    <n v="12"/>
    <n v="3"/>
    <n v="3"/>
    <n v="80"/>
    <n v="0"/>
    <n v="19"/>
    <n v="1"/>
    <n v="3"/>
    <n v="1"/>
    <n v="0"/>
    <n v="0"/>
    <n v="0"/>
    <x v="0"/>
    <x v="0"/>
  </r>
  <r>
    <n v="26"/>
    <s v="Yes"/>
    <s v="Non-Travel"/>
    <n v="265"/>
    <s v="Sales"/>
    <n v="29"/>
    <n v="2"/>
    <s v="Medical"/>
    <n v="1"/>
    <n v="1037"/>
    <n v="2"/>
    <s v="Male"/>
    <n v="79"/>
    <n v="1"/>
    <x v="0"/>
    <s v="Sales Executive"/>
    <n v="1"/>
    <s v="Single"/>
    <x v="711"/>
    <n v="21813"/>
    <n v="8"/>
    <s v="Y"/>
    <s v="No"/>
    <n v="18"/>
    <n v="3"/>
    <n v="4"/>
    <n v="80"/>
    <n v="0"/>
    <n v="7"/>
    <n v="6"/>
    <n v="3"/>
    <n v="2"/>
    <n v="2"/>
    <n v="2"/>
    <n v="2"/>
    <x v="2"/>
    <x v="0"/>
  </r>
  <r>
    <n v="52"/>
    <s v="Yes"/>
    <s v="Travel_Rarely"/>
    <n v="266"/>
    <s v="Sales"/>
    <n v="2"/>
    <n v="1"/>
    <s v="Marketing"/>
    <n v="1"/>
    <n v="1038"/>
    <n v="1"/>
    <s v="Female"/>
    <n v="57"/>
    <n v="1"/>
    <x v="4"/>
    <s v="Manager"/>
    <n v="4"/>
    <s v="Married"/>
    <x v="712"/>
    <n v="25846"/>
    <n v="1"/>
    <s v="Y"/>
    <s v="No"/>
    <n v="15"/>
    <n v="3"/>
    <n v="4"/>
    <n v="80"/>
    <n v="1"/>
    <n v="33"/>
    <n v="3"/>
    <n v="3"/>
    <n v="32"/>
    <n v="14"/>
    <n v="6"/>
    <n v="9"/>
    <x v="1"/>
    <x v="3"/>
  </r>
  <r>
    <n v="44"/>
    <s v="No"/>
    <s v="Travel_Rarely"/>
    <n v="1448"/>
    <s v="Sales"/>
    <n v="28"/>
    <n v="3"/>
    <s v="Medical"/>
    <n v="1"/>
    <n v="1039"/>
    <n v="4"/>
    <s v="Female"/>
    <n v="53"/>
    <n v="4"/>
    <x v="3"/>
    <s v="Sales Executive"/>
    <n v="4"/>
    <s v="Married"/>
    <x v="713"/>
    <n v="11737"/>
    <n v="3"/>
    <s v="Y"/>
    <s v="Yes"/>
    <n v="18"/>
    <n v="3"/>
    <n v="3"/>
    <n v="80"/>
    <n v="1"/>
    <n v="23"/>
    <n v="2"/>
    <n v="3"/>
    <n v="12"/>
    <n v="11"/>
    <n v="11"/>
    <n v="11"/>
    <x v="0"/>
    <x v="3"/>
  </r>
  <r>
    <n v="50"/>
    <s v="No"/>
    <s v="Non-Travel"/>
    <n v="145"/>
    <s v="Sales"/>
    <n v="1"/>
    <n v="3"/>
    <s v="Life Sciences"/>
    <n v="1"/>
    <n v="1040"/>
    <n v="4"/>
    <s v="Female"/>
    <n v="95"/>
    <n v="3"/>
    <x v="0"/>
    <s v="Sales Executive"/>
    <n v="3"/>
    <s v="Married"/>
    <x v="136"/>
    <n v="24920"/>
    <n v="0"/>
    <s v="Y"/>
    <s v="No"/>
    <n v="12"/>
    <n v="3"/>
    <n v="1"/>
    <n v="80"/>
    <n v="1"/>
    <n v="19"/>
    <n v="3"/>
    <n v="3"/>
    <n v="18"/>
    <n v="7"/>
    <n v="0"/>
    <n v="13"/>
    <x v="1"/>
    <x v="0"/>
  </r>
  <r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x v="1"/>
    <s v="Laboratory Technician"/>
    <n v="1"/>
    <s v="Single"/>
    <x v="714"/>
    <n v="8269"/>
    <n v="1"/>
    <s v="Y"/>
    <s v="No"/>
    <n v="16"/>
    <n v="3"/>
    <n v="3"/>
    <n v="80"/>
    <n v="0"/>
    <n v="18"/>
    <n v="1"/>
    <n v="3"/>
    <n v="17"/>
    <n v="13"/>
    <n v="15"/>
    <n v="14"/>
    <x v="0"/>
    <x v="1"/>
  </r>
  <r>
    <n v="39"/>
    <s v="No"/>
    <s v="Travel_Frequently"/>
    <n v="945"/>
    <s v="Research &amp; Development"/>
    <n v="22"/>
    <n v="3"/>
    <s v="Medical"/>
    <n v="1"/>
    <n v="1043"/>
    <n v="4"/>
    <s v="Female"/>
    <n v="82"/>
    <n v="3"/>
    <x v="2"/>
    <s v="Manufacturing Director"/>
    <n v="1"/>
    <s v="Single"/>
    <x v="715"/>
    <n v="5083"/>
    <n v="1"/>
    <s v="Y"/>
    <s v="Yes"/>
    <n v="13"/>
    <n v="3"/>
    <n v="3"/>
    <n v="80"/>
    <n v="0"/>
    <n v="21"/>
    <n v="2"/>
    <n v="3"/>
    <n v="21"/>
    <n v="6"/>
    <n v="2"/>
    <n v="8"/>
    <x v="0"/>
    <x v="2"/>
  </r>
  <r>
    <n v="33"/>
    <s v="No"/>
    <s v="Non-Travel"/>
    <n v="1038"/>
    <s v="Sales"/>
    <n v="8"/>
    <n v="1"/>
    <s v="Life Sciences"/>
    <n v="1"/>
    <n v="1044"/>
    <n v="2"/>
    <s v="Female"/>
    <n v="88"/>
    <n v="2"/>
    <x v="1"/>
    <s v="Sales Representative"/>
    <n v="4"/>
    <s v="Single"/>
    <x v="531"/>
    <n v="21437"/>
    <n v="0"/>
    <s v="Y"/>
    <s v="No"/>
    <n v="19"/>
    <n v="3"/>
    <n v="4"/>
    <n v="80"/>
    <n v="0"/>
    <n v="3"/>
    <n v="2"/>
    <n v="2"/>
    <n v="2"/>
    <n v="2"/>
    <n v="2"/>
    <n v="2"/>
    <x v="2"/>
    <x v="1"/>
  </r>
  <r>
    <n v="45"/>
    <s v="No"/>
    <s v="Travel_Rarely"/>
    <n v="1234"/>
    <s v="Sales"/>
    <n v="11"/>
    <n v="2"/>
    <s v="Life Sciences"/>
    <n v="1"/>
    <n v="1045"/>
    <n v="4"/>
    <s v="Female"/>
    <n v="90"/>
    <n v="3"/>
    <x v="3"/>
    <s v="Manager"/>
    <n v="4"/>
    <s v="Married"/>
    <x v="716"/>
    <n v="5404"/>
    <n v="3"/>
    <s v="Y"/>
    <s v="No"/>
    <n v="13"/>
    <n v="3"/>
    <n v="2"/>
    <n v="80"/>
    <n v="1"/>
    <n v="26"/>
    <n v="4"/>
    <n v="4"/>
    <n v="9"/>
    <n v="3"/>
    <n v="1"/>
    <n v="1"/>
    <x v="0"/>
    <x v="3"/>
  </r>
  <r>
    <n v="32"/>
    <s v="No"/>
    <s v="Non-Travel"/>
    <n v="1109"/>
    <s v="Research &amp; Development"/>
    <n v="29"/>
    <n v="4"/>
    <s v="Medical"/>
    <n v="1"/>
    <n v="1046"/>
    <n v="4"/>
    <s v="Female"/>
    <n v="69"/>
    <n v="3"/>
    <x v="1"/>
    <s v="Laboratory Technician"/>
    <n v="3"/>
    <s v="Single"/>
    <x v="717"/>
    <n v="11135"/>
    <n v="9"/>
    <s v="Y"/>
    <s v="No"/>
    <n v="12"/>
    <n v="3"/>
    <n v="2"/>
    <n v="80"/>
    <n v="0"/>
    <n v="10"/>
    <n v="2"/>
    <n v="3"/>
    <n v="8"/>
    <n v="7"/>
    <n v="7"/>
    <n v="7"/>
    <x v="2"/>
    <x v="0"/>
  </r>
  <r>
    <n v="34"/>
    <s v="No"/>
    <s v="Travel_Rarely"/>
    <n v="216"/>
    <s v="Sales"/>
    <n v="1"/>
    <n v="4"/>
    <s v="Marketing"/>
    <n v="1"/>
    <n v="1047"/>
    <n v="2"/>
    <s v="Male"/>
    <n v="75"/>
    <n v="4"/>
    <x v="0"/>
    <s v="Sales Executive"/>
    <n v="4"/>
    <s v="Divorced"/>
    <x v="718"/>
    <n v="12278"/>
    <n v="0"/>
    <s v="Y"/>
    <s v="No"/>
    <n v="11"/>
    <n v="3"/>
    <n v="4"/>
    <n v="80"/>
    <n v="1"/>
    <n v="16"/>
    <n v="2"/>
    <n v="2"/>
    <n v="15"/>
    <n v="1"/>
    <n v="0"/>
    <n v="9"/>
    <x v="2"/>
    <x v="2"/>
  </r>
  <r>
    <n v="59"/>
    <s v="No"/>
    <s v="Travel_Rarely"/>
    <n v="1089"/>
    <s v="Sales"/>
    <n v="1"/>
    <n v="2"/>
    <s v="Technical Degree"/>
    <n v="1"/>
    <n v="1048"/>
    <n v="2"/>
    <s v="Male"/>
    <n v="66"/>
    <n v="3"/>
    <x v="2"/>
    <s v="Manager"/>
    <n v="4"/>
    <s v="Married"/>
    <x v="719"/>
    <n v="11038"/>
    <n v="3"/>
    <s v="Y"/>
    <s v="Yes"/>
    <n v="14"/>
    <n v="3"/>
    <n v="3"/>
    <n v="80"/>
    <n v="1"/>
    <n v="14"/>
    <n v="1"/>
    <n v="1"/>
    <n v="6"/>
    <n v="4"/>
    <n v="0"/>
    <n v="4"/>
    <x v="3"/>
    <x v="2"/>
  </r>
  <r>
    <n v="45"/>
    <s v="No"/>
    <s v="Travel_Rarely"/>
    <n v="788"/>
    <s v="Human Resources"/>
    <n v="24"/>
    <n v="4"/>
    <s v="Medical"/>
    <n v="1"/>
    <n v="1049"/>
    <n v="2"/>
    <s v="Male"/>
    <n v="36"/>
    <n v="3"/>
    <x v="1"/>
    <s v="Human Resources"/>
    <n v="2"/>
    <s v="Single"/>
    <x v="221"/>
    <n v="8318"/>
    <n v="1"/>
    <s v="Y"/>
    <s v="No"/>
    <n v="16"/>
    <n v="3"/>
    <n v="1"/>
    <n v="80"/>
    <n v="0"/>
    <n v="6"/>
    <n v="3"/>
    <n v="3"/>
    <n v="6"/>
    <n v="3"/>
    <n v="0"/>
    <n v="4"/>
    <x v="0"/>
    <x v="1"/>
  </r>
  <r>
    <n v="53"/>
    <s v="No"/>
    <s v="Travel_Frequently"/>
    <n v="124"/>
    <s v="Sales"/>
    <n v="2"/>
    <n v="3"/>
    <s v="Marketing"/>
    <n v="1"/>
    <n v="1050"/>
    <n v="3"/>
    <s v="Female"/>
    <n v="38"/>
    <n v="2"/>
    <x v="2"/>
    <s v="Sales Executive"/>
    <n v="2"/>
    <s v="Married"/>
    <x v="720"/>
    <n v="23537"/>
    <n v="2"/>
    <s v="Y"/>
    <s v="No"/>
    <n v="12"/>
    <n v="3"/>
    <n v="1"/>
    <n v="80"/>
    <n v="1"/>
    <n v="30"/>
    <n v="2"/>
    <n v="3"/>
    <n v="15"/>
    <n v="7"/>
    <n v="6"/>
    <n v="12"/>
    <x v="1"/>
    <x v="2"/>
  </r>
  <r>
    <n v="36"/>
    <s v="Yes"/>
    <s v="Travel_Rarely"/>
    <n v="660"/>
    <s v="Research &amp; Development"/>
    <n v="15"/>
    <n v="3"/>
    <s v="Other"/>
    <n v="1"/>
    <n v="1052"/>
    <n v="1"/>
    <s v="Male"/>
    <n v="81"/>
    <n v="3"/>
    <x v="0"/>
    <s v="Laboratory Technician"/>
    <n v="3"/>
    <s v="Divorced"/>
    <x v="721"/>
    <n v="7858"/>
    <n v="7"/>
    <s v="Y"/>
    <s v="No"/>
    <n v="14"/>
    <n v="3"/>
    <n v="2"/>
    <n v="80"/>
    <n v="1"/>
    <n v="9"/>
    <n v="3"/>
    <n v="2"/>
    <n v="1"/>
    <n v="0"/>
    <n v="0"/>
    <n v="0"/>
    <x v="0"/>
    <x v="0"/>
  </r>
  <r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x v="1"/>
    <s v="Research Scientist"/>
    <n v="1"/>
    <s v="Married"/>
    <x v="96"/>
    <n v="15346"/>
    <n v="6"/>
    <s v="Y"/>
    <s v="Yes"/>
    <n v="14"/>
    <n v="3"/>
    <n v="2"/>
    <n v="80"/>
    <n v="1"/>
    <n v="6"/>
    <n v="2"/>
    <n v="3"/>
    <n v="3"/>
    <n v="2"/>
    <n v="1"/>
    <n v="2"/>
    <x v="2"/>
    <x v="1"/>
  </r>
  <r>
    <n v="34"/>
    <s v="No"/>
    <s v="Travel_Rarely"/>
    <n v="1333"/>
    <s v="Sales"/>
    <n v="10"/>
    <n v="4"/>
    <s v="Life Sciences"/>
    <n v="1"/>
    <n v="1055"/>
    <n v="3"/>
    <s v="Female"/>
    <n v="87"/>
    <n v="3"/>
    <x v="1"/>
    <s v="Sales Representative"/>
    <n v="3"/>
    <s v="Married"/>
    <x v="722"/>
    <n v="18410"/>
    <n v="1"/>
    <s v="Y"/>
    <s v="Yes"/>
    <n v="19"/>
    <n v="3"/>
    <n v="4"/>
    <n v="80"/>
    <n v="1"/>
    <n v="1"/>
    <n v="2"/>
    <n v="3"/>
    <n v="1"/>
    <n v="1"/>
    <n v="0"/>
    <n v="0"/>
    <x v="2"/>
    <x v="1"/>
  </r>
  <r>
    <n v="28"/>
    <s v="No"/>
    <s v="Travel_Rarely"/>
    <n v="1144"/>
    <s v="Sales"/>
    <n v="10"/>
    <n v="1"/>
    <s v="Medical"/>
    <n v="1"/>
    <n v="1056"/>
    <n v="4"/>
    <s v="Male"/>
    <n v="74"/>
    <n v="3"/>
    <x v="1"/>
    <s v="Sales Representative"/>
    <n v="2"/>
    <s v="Married"/>
    <x v="723"/>
    <n v="23384"/>
    <n v="1"/>
    <s v="Y"/>
    <s v="No"/>
    <n v="22"/>
    <n v="4"/>
    <n v="2"/>
    <n v="80"/>
    <n v="0"/>
    <n v="1"/>
    <n v="5"/>
    <n v="3"/>
    <n v="1"/>
    <n v="0"/>
    <n v="0"/>
    <n v="0"/>
    <x v="2"/>
    <x v="1"/>
  </r>
  <r>
    <n v="38"/>
    <s v="No"/>
    <s v="Travel_Frequently"/>
    <n v="1186"/>
    <s v="Research &amp; Development"/>
    <n v="3"/>
    <n v="4"/>
    <s v="Other"/>
    <n v="1"/>
    <n v="1060"/>
    <n v="3"/>
    <s v="Male"/>
    <n v="44"/>
    <n v="3"/>
    <x v="1"/>
    <s v="Research Scientist"/>
    <n v="3"/>
    <s v="Married"/>
    <x v="724"/>
    <n v="2997"/>
    <n v="3"/>
    <s v="Y"/>
    <s v="No"/>
    <n v="16"/>
    <n v="3"/>
    <n v="1"/>
    <n v="80"/>
    <n v="1"/>
    <n v="8"/>
    <n v="2"/>
    <n v="3"/>
    <n v="2"/>
    <n v="2"/>
    <n v="2"/>
    <n v="2"/>
    <x v="0"/>
    <x v="1"/>
  </r>
  <r>
    <n v="50"/>
    <s v="No"/>
    <s v="Travel_Rarely"/>
    <n v="1464"/>
    <s v="Research &amp; Development"/>
    <n v="2"/>
    <n v="4"/>
    <s v="Medical"/>
    <n v="1"/>
    <n v="1061"/>
    <n v="2"/>
    <s v="Male"/>
    <n v="62"/>
    <n v="3"/>
    <x v="4"/>
    <s v="Research Director"/>
    <n v="3"/>
    <s v="Married"/>
    <x v="725"/>
    <n v="12853"/>
    <n v="2"/>
    <s v="Y"/>
    <s v="Yes"/>
    <n v="11"/>
    <n v="3"/>
    <n v="4"/>
    <n v="80"/>
    <n v="1"/>
    <n v="29"/>
    <n v="2"/>
    <n v="2"/>
    <n v="8"/>
    <n v="1"/>
    <n v="7"/>
    <n v="7"/>
    <x v="1"/>
    <x v="3"/>
  </r>
  <r>
    <n v="37"/>
    <s v="No"/>
    <s v="Travel_Rarely"/>
    <n v="124"/>
    <s v="Research &amp; Development"/>
    <n v="3"/>
    <n v="3"/>
    <s v="Other"/>
    <n v="1"/>
    <n v="1062"/>
    <n v="4"/>
    <s v="Female"/>
    <n v="35"/>
    <n v="3"/>
    <x v="0"/>
    <s v="Healthcare Representative"/>
    <n v="2"/>
    <s v="Single"/>
    <x v="726"/>
    <n v="13848"/>
    <n v="3"/>
    <s v="Y"/>
    <s v="No"/>
    <n v="15"/>
    <n v="3"/>
    <n v="1"/>
    <n v="80"/>
    <n v="0"/>
    <n v="8"/>
    <n v="3"/>
    <n v="2"/>
    <n v="4"/>
    <n v="3"/>
    <n v="0"/>
    <n v="1"/>
    <x v="0"/>
    <x v="0"/>
  </r>
  <r>
    <n v="40"/>
    <s v="No"/>
    <s v="Travel_Rarely"/>
    <n v="300"/>
    <s v="Sales"/>
    <n v="26"/>
    <n v="3"/>
    <s v="Marketing"/>
    <n v="1"/>
    <n v="1066"/>
    <n v="3"/>
    <s v="Male"/>
    <n v="74"/>
    <n v="3"/>
    <x v="0"/>
    <s v="Sales Executive"/>
    <n v="1"/>
    <s v="Married"/>
    <x v="727"/>
    <n v="22217"/>
    <n v="1"/>
    <s v="Y"/>
    <s v="No"/>
    <n v="14"/>
    <n v="3"/>
    <n v="2"/>
    <n v="80"/>
    <n v="1"/>
    <n v="8"/>
    <n v="3"/>
    <n v="2"/>
    <n v="7"/>
    <n v="7"/>
    <n v="7"/>
    <n v="5"/>
    <x v="0"/>
    <x v="2"/>
  </r>
  <r>
    <n v="26"/>
    <s v="No"/>
    <s v="Travel_Frequently"/>
    <n v="921"/>
    <s v="Research &amp; Development"/>
    <n v="1"/>
    <n v="1"/>
    <s v="Medical"/>
    <n v="1"/>
    <n v="1068"/>
    <n v="1"/>
    <s v="Female"/>
    <n v="66"/>
    <n v="2"/>
    <x v="1"/>
    <s v="Research Scientist"/>
    <n v="3"/>
    <s v="Divorced"/>
    <x v="728"/>
    <n v="25265"/>
    <n v="1"/>
    <s v="Y"/>
    <s v="No"/>
    <n v="13"/>
    <n v="3"/>
    <n v="3"/>
    <n v="80"/>
    <n v="2"/>
    <n v="5"/>
    <n v="5"/>
    <n v="3"/>
    <n v="5"/>
    <n v="3"/>
    <n v="1"/>
    <n v="3"/>
    <x v="2"/>
    <x v="1"/>
  </r>
  <r>
    <n v="46"/>
    <s v="No"/>
    <s v="Travel_Rarely"/>
    <n v="430"/>
    <s v="Research &amp; Development"/>
    <n v="1"/>
    <n v="4"/>
    <s v="Medical"/>
    <n v="1"/>
    <n v="1069"/>
    <n v="4"/>
    <s v="Male"/>
    <n v="40"/>
    <n v="3"/>
    <x v="4"/>
    <s v="Research Director"/>
    <n v="4"/>
    <s v="Divorced"/>
    <x v="729"/>
    <n v="21445"/>
    <n v="9"/>
    <s v="Y"/>
    <s v="No"/>
    <n v="17"/>
    <n v="3"/>
    <n v="4"/>
    <n v="80"/>
    <n v="2"/>
    <n v="23"/>
    <n v="0"/>
    <n v="3"/>
    <n v="2"/>
    <n v="2"/>
    <n v="2"/>
    <n v="2"/>
    <x v="1"/>
    <x v="3"/>
  </r>
  <r>
    <n v="54"/>
    <s v="No"/>
    <s v="Travel_Rarely"/>
    <n v="1082"/>
    <s v="Sales"/>
    <n v="2"/>
    <n v="4"/>
    <s v="Life Sciences"/>
    <n v="1"/>
    <n v="1070"/>
    <n v="3"/>
    <s v="Female"/>
    <n v="41"/>
    <n v="2"/>
    <x v="2"/>
    <s v="Sales Executive"/>
    <n v="3"/>
    <s v="Married"/>
    <x v="730"/>
    <n v="8392"/>
    <n v="6"/>
    <s v="Y"/>
    <s v="No"/>
    <n v="11"/>
    <n v="3"/>
    <n v="2"/>
    <n v="80"/>
    <n v="1"/>
    <n v="13"/>
    <n v="4"/>
    <n v="3"/>
    <n v="9"/>
    <n v="4"/>
    <n v="7"/>
    <n v="0"/>
    <x v="1"/>
    <x v="2"/>
  </r>
  <r>
    <n v="56"/>
    <s v="No"/>
    <s v="Travel_Frequently"/>
    <n v="1240"/>
    <s v="Research &amp; Development"/>
    <n v="9"/>
    <n v="3"/>
    <s v="Medical"/>
    <n v="1"/>
    <n v="1071"/>
    <n v="1"/>
    <s v="Female"/>
    <n v="63"/>
    <n v="3"/>
    <x v="1"/>
    <s v="Research Scientist"/>
    <n v="3"/>
    <s v="Married"/>
    <x v="131"/>
    <n v="12154"/>
    <n v="2"/>
    <s v="Y"/>
    <s v="No"/>
    <n v="19"/>
    <n v="3"/>
    <n v="2"/>
    <n v="80"/>
    <n v="1"/>
    <n v="18"/>
    <n v="4"/>
    <n v="3"/>
    <n v="5"/>
    <n v="4"/>
    <n v="0"/>
    <n v="3"/>
    <x v="3"/>
    <x v="1"/>
  </r>
  <r>
    <n v="36"/>
    <s v="No"/>
    <s v="Travel_Rarely"/>
    <n v="796"/>
    <s v="Research &amp; Development"/>
    <n v="12"/>
    <n v="5"/>
    <s v="Medical"/>
    <n v="1"/>
    <n v="1073"/>
    <n v="4"/>
    <s v="Female"/>
    <n v="51"/>
    <n v="2"/>
    <x v="2"/>
    <s v="Manufacturing Director"/>
    <n v="4"/>
    <s v="Single"/>
    <x v="731"/>
    <n v="15669"/>
    <n v="0"/>
    <s v="Y"/>
    <s v="No"/>
    <n v="11"/>
    <n v="3"/>
    <n v="2"/>
    <n v="80"/>
    <n v="0"/>
    <n v="15"/>
    <n v="2"/>
    <n v="2"/>
    <n v="14"/>
    <n v="8"/>
    <n v="7"/>
    <n v="8"/>
    <x v="0"/>
    <x v="2"/>
  </r>
  <r>
    <n v="55"/>
    <s v="No"/>
    <s v="Non-Travel"/>
    <n v="444"/>
    <s v="Research &amp; Development"/>
    <n v="2"/>
    <n v="1"/>
    <s v="Medical"/>
    <n v="1"/>
    <n v="1074"/>
    <n v="3"/>
    <s v="Male"/>
    <n v="40"/>
    <n v="2"/>
    <x v="3"/>
    <s v="Manager"/>
    <n v="1"/>
    <s v="Single"/>
    <x v="732"/>
    <n v="17323"/>
    <n v="7"/>
    <s v="Y"/>
    <s v="No"/>
    <n v="15"/>
    <n v="3"/>
    <n v="2"/>
    <n v="80"/>
    <n v="0"/>
    <n v="31"/>
    <n v="3"/>
    <n v="4"/>
    <n v="9"/>
    <n v="7"/>
    <n v="6"/>
    <n v="2"/>
    <x v="1"/>
    <x v="3"/>
  </r>
  <r>
    <n v="43"/>
    <s v="No"/>
    <s v="Travel_Rarely"/>
    <n v="415"/>
    <s v="Sales"/>
    <n v="25"/>
    <n v="3"/>
    <s v="Medical"/>
    <n v="1"/>
    <n v="1076"/>
    <n v="3"/>
    <s v="Male"/>
    <n v="79"/>
    <n v="2"/>
    <x v="2"/>
    <s v="Sales Executive"/>
    <n v="4"/>
    <s v="Divorced"/>
    <x v="733"/>
    <n v="5268"/>
    <n v="5"/>
    <s v="Y"/>
    <s v="No"/>
    <n v="13"/>
    <n v="3"/>
    <n v="3"/>
    <n v="80"/>
    <n v="1"/>
    <n v="18"/>
    <n v="5"/>
    <n v="3"/>
    <n v="1"/>
    <n v="0"/>
    <n v="0"/>
    <n v="0"/>
    <x v="0"/>
    <x v="2"/>
  </r>
  <r>
    <n v="20"/>
    <s v="Yes"/>
    <s v="Travel_Frequently"/>
    <n v="769"/>
    <s v="Sales"/>
    <n v="9"/>
    <n v="3"/>
    <s v="Marketing"/>
    <n v="1"/>
    <n v="1077"/>
    <n v="4"/>
    <s v="Female"/>
    <n v="54"/>
    <n v="3"/>
    <x v="1"/>
    <s v="Sales Representative"/>
    <n v="4"/>
    <s v="Single"/>
    <x v="157"/>
    <n v="17205"/>
    <n v="1"/>
    <s v="Y"/>
    <s v="Yes"/>
    <n v="14"/>
    <n v="3"/>
    <n v="2"/>
    <n v="80"/>
    <n v="0"/>
    <n v="2"/>
    <n v="3"/>
    <n v="3"/>
    <n v="2"/>
    <n v="2"/>
    <n v="0"/>
    <n v="2"/>
    <x v="4"/>
    <x v="1"/>
  </r>
  <r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x v="1"/>
    <s v="Laboratory Technician"/>
    <n v="1"/>
    <s v="Single"/>
    <x v="734"/>
    <n v="17258"/>
    <n v="1"/>
    <s v="Y"/>
    <s v="No"/>
    <n v="13"/>
    <n v="3"/>
    <n v="1"/>
    <n v="80"/>
    <n v="0"/>
    <n v="1"/>
    <n v="6"/>
    <n v="2"/>
    <n v="1"/>
    <n v="0"/>
    <n v="1"/>
    <n v="0"/>
    <x v="4"/>
    <x v="1"/>
  </r>
  <r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x v="0"/>
    <s v="Research Scientist"/>
    <n v="1"/>
    <s v="Divorced"/>
    <x v="735"/>
    <n v="21029"/>
    <n v="8"/>
    <s v="Y"/>
    <s v="Yes"/>
    <n v="23"/>
    <n v="4"/>
    <n v="1"/>
    <n v="80"/>
    <n v="3"/>
    <n v="19"/>
    <n v="2"/>
    <n v="3"/>
    <n v="16"/>
    <n v="13"/>
    <n v="1"/>
    <n v="7"/>
    <x v="1"/>
    <x v="0"/>
  </r>
  <r>
    <n v="51"/>
    <s v="Yes"/>
    <s v="Travel_Rarely"/>
    <n v="1323"/>
    <s v="Research &amp; Development"/>
    <n v="4"/>
    <n v="4"/>
    <s v="Life Sciences"/>
    <n v="1"/>
    <n v="1081"/>
    <n v="1"/>
    <s v="Male"/>
    <n v="34"/>
    <n v="3"/>
    <x v="1"/>
    <s v="Research Scientist"/>
    <n v="3"/>
    <s v="Married"/>
    <x v="736"/>
    <n v="10332"/>
    <n v="9"/>
    <s v="Y"/>
    <s v="Yes"/>
    <n v="12"/>
    <n v="3"/>
    <n v="3"/>
    <n v="80"/>
    <n v="3"/>
    <n v="18"/>
    <n v="2"/>
    <n v="4"/>
    <n v="10"/>
    <n v="0"/>
    <n v="2"/>
    <n v="7"/>
    <x v="1"/>
    <x v="1"/>
  </r>
  <r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x v="2"/>
    <s v="Healthcare Representative"/>
    <n v="1"/>
    <s v="Single"/>
    <x v="737"/>
    <n v="12355"/>
    <n v="1"/>
    <s v="Y"/>
    <s v="No"/>
    <n v="12"/>
    <n v="3"/>
    <n v="1"/>
    <n v="80"/>
    <n v="0"/>
    <n v="10"/>
    <n v="2"/>
    <n v="2"/>
    <n v="10"/>
    <n v="7"/>
    <n v="1"/>
    <n v="9"/>
    <x v="2"/>
    <x v="2"/>
  </r>
  <r>
    <n v="26"/>
    <s v="No"/>
    <s v="Travel_Rarely"/>
    <n v="192"/>
    <s v="Research &amp; Development"/>
    <n v="1"/>
    <n v="2"/>
    <s v="Medical"/>
    <n v="1"/>
    <n v="1083"/>
    <n v="1"/>
    <s v="Male"/>
    <n v="59"/>
    <n v="2"/>
    <x v="1"/>
    <s v="Laboratory Technician"/>
    <n v="1"/>
    <s v="Married"/>
    <x v="738"/>
    <n v="11141"/>
    <n v="1"/>
    <s v="Y"/>
    <s v="No"/>
    <n v="16"/>
    <n v="3"/>
    <n v="1"/>
    <n v="80"/>
    <n v="2"/>
    <n v="6"/>
    <n v="2"/>
    <n v="3"/>
    <n v="5"/>
    <n v="3"/>
    <n v="1"/>
    <n v="3"/>
    <x v="2"/>
    <x v="0"/>
  </r>
  <r>
    <n v="30"/>
    <s v="No"/>
    <s v="Travel_Rarely"/>
    <n v="1176"/>
    <s v="Research &amp; Development"/>
    <n v="20"/>
    <n v="3"/>
    <s v="Other"/>
    <n v="1"/>
    <n v="1084"/>
    <n v="3"/>
    <s v="Male"/>
    <n v="85"/>
    <n v="3"/>
    <x v="0"/>
    <s v="Manufacturing Director"/>
    <n v="1"/>
    <s v="Married"/>
    <x v="739"/>
    <n v="9096"/>
    <n v="0"/>
    <s v="Y"/>
    <s v="No"/>
    <n v="15"/>
    <n v="3"/>
    <n v="3"/>
    <n v="80"/>
    <n v="1"/>
    <n v="7"/>
    <n v="1"/>
    <n v="2"/>
    <n v="6"/>
    <n v="2"/>
    <n v="0"/>
    <n v="2"/>
    <x v="2"/>
    <x v="2"/>
  </r>
  <r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x v="1"/>
    <s v="Research Scientist"/>
    <n v="3"/>
    <s v="Married"/>
    <x v="740"/>
    <n v="18863"/>
    <n v="1"/>
    <s v="Y"/>
    <s v="No"/>
    <n v="13"/>
    <n v="3"/>
    <n v="3"/>
    <n v="80"/>
    <n v="0"/>
    <n v="10"/>
    <n v="3"/>
    <n v="3"/>
    <n v="10"/>
    <n v="6"/>
    <n v="0"/>
    <n v="8"/>
    <x v="0"/>
    <x v="0"/>
  </r>
  <r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x v="2"/>
    <s v="Healthcare Representative"/>
    <n v="3"/>
    <s v="Married"/>
    <x v="741"/>
    <n v="24608"/>
    <n v="0"/>
    <s v="Y"/>
    <s v="No"/>
    <n v="18"/>
    <n v="3"/>
    <n v="1"/>
    <n v="80"/>
    <n v="1"/>
    <n v="20"/>
    <n v="4"/>
    <n v="2"/>
    <n v="19"/>
    <n v="9"/>
    <n v="1"/>
    <n v="9"/>
    <x v="0"/>
    <x v="2"/>
  </r>
  <r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x v="2"/>
    <s v="Healthcare Representative"/>
    <n v="4"/>
    <s v="Married"/>
    <x v="742"/>
    <n v="26542"/>
    <n v="4"/>
    <s v="Y"/>
    <s v="No"/>
    <n v="20"/>
    <n v="4"/>
    <n v="4"/>
    <n v="80"/>
    <n v="1"/>
    <n v="14"/>
    <n v="6"/>
    <n v="3"/>
    <n v="11"/>
    <n v="10"/>
    <n v="11"/>
    <n v="1"/>
    <x v="0"/>
    <x v="2"/>
  </r>
  <r>
    <n v="27"/>
    <s v="No"/>
    <s v="Non-Travel"/>
    <n v="1277"/>
    <s v="Research &amp; Development"/>
    <n v="8"/>
    <n v="5"/>
    <s v="Life Sciences"/>
    <n v="1"/>
    <n v="1094"/>
    <n v="1"/>
    <s v="Male"/>
    <n v="87"/>
    <n v="1"/>
    <x v="1"/>
    <s v="Laboratory Technician"/>
    <n v="3"/>
    <s v="Married"/>
    <x v="743"/>
    <n v="5869"/>
    <n v="1"/>
    <s v="Y"/>
    <s v="No"/>
    <n v="19"/>
    <n v="3"/>
    <n v="4"/>
    <n v="80"/>
    <n v="3"/>
    <n v="3"/>
    <n v="4"/>
    <n v="3"/>
    <n v="3"/>
    <n v="2"/>
    <n v="1"/>
    <n v="2"/>
    <x v="2"/>
    <x v="0"/>
  </r>
  <r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x v="2"/>
    <s v="Manufacturing Director"/>
    <n v="2"/>
    <s v="Married"/>
    <x v="744"/>
    <n v="15813"/>
    <n v="3"/>
    <s v="Y"/>
    <s v="No"/>
    <n v="18"/>
    <n v="3"/>
    <n v="2"/>
    <n v="80"/>
    <n v="1"/>
    <n v="23"/>
    <n v="4"/>
    <n v="3"/>
    <n v="3"/>
    <n v="2"/>
    <n v="1"/>
    <n v="2"/>
    <x v="1"/>
    <x v="2"/>
  </r>
  <r>
    <n v="28"/>
    <s v="No"/>
    <s v="Travel_Rarely"/>
    <n v="857"/>
    <s v="Research &amp; Development"/>
    <n v="10"/>
    <n v="3"/>
    <s v="Other"/>
    <n v="1"/>
    <n v="1097"/>
    <n v="3"/>
    <s v="Female"/>
    <n v="59"/>
    <n v="3"/>
    <x v="0"/>
    <s v="Research Scientist"/>
    <n v="3"/>
    <s v="Single"/>
    <x v="745"/>
    <n v="7909"/>
    <n v="3"/>
    <s v="Y"/>
    <s v="No"/>
    <n v="13"/>
    <n v="3"/>
    <n v="4"/>
    <n v="80"/>
    <n v="0"/>
    <n v="10"/>
    <n v="4"/>
    <n v="4"/>
    <n v="8"/>
    <n v="7"/>
    <n v="1"/>
    <n v="7"/>
    <x v="2"/>
    <x v="0"/>
  </r>
  <r>
    <n v="44"/>
    <s v="Yes"/>
    <s v="Travel_Rarely"/>
    <n v="1376"/>
    <s v="Human Resources"/>
    <n v="1"/>
    <n v="2"/>
    <s v="Medical"/>
    <n v="1"/>
    <n v="1098"/>
    <n v="2"/>
    <s v="Male"/>
    <n v="91"/>
    <n v="2"/>
    <x v="2"/>
    <s v="Human Resources"/>
    <n v="1"/>
    <s v="Married"/>
    <x v="746"/>
    <n v="2326"/>
    <n v="9"/>
    <s v="Y"/>
    <s v="No"/>
    <n v="14"/>
    <n v="3"/>
    <n v="4"/>
    <n v="80"/>
    <n v="1"/>
    <n v="24"/>
    <n v="1"/>
    <n v="3"/>
    <n v="20"/>
    <n v="6"/>
    <n v="3"/>
    <n v="6"/>
    <x v="0"/>
    <x v="2"/>
  </r>
  <r>
    <n v="33"/>
    <s v="No"/>
    <s v="Travel_Rarely"/>
    <n v="654"/>
    <s v="Research &amp; Development"/>
    <n v="5"/>
    <n v="3"/>
    <s v="Life Sciences"/>
    <n v="1"/>
    <n v="1099"/>
    <n v="4"/>
    <s v="Male"/>
    <n v="34"/>
    <n v="2"/>
    <x v="2"/>
    <s v="Healthcare Representative"/>
    <n v="4"/>
    <s v="Divorced"/>
    <x v="747"/>
    <n v="21214"/>
    <n v="4"/>
    <s v="Y"/>
    <s v="No"/>
    <n v="15"/>
    <n v="3"/>
    <n v="3"/>
    <n v="80"/>
    <n v="1"/>
    <n v="9"/>
    <n v="2"/>
    <n v="3"/>
    <n v="3"/>
    <n v="2"/>
    <n v="1"/>
    <n v="2"/>
    <x v="2"/>
    <x v="2"/>
  </r>
  <r>
    <n v="35"/>
    <s v="Yes"/>
    <s v="Travel_Rarely"/>
    <n v="1204"/>
    <s v="Sales"/>
    <n v="4"/>
    <n v="3"/>
    <s v="Technical Degree"/>
    <n v="1"/>
    <n v="1100"/>
    <n v="4"/>
    <s v="Male"/>
    <n v="86"/>
    <n v="3"/>
    <x v="2"/>
    <s v="Sales Executive"/>
    <n v="1"/>
    <s v="Single"/>
    <x v="748"/>
    <n v="10333"/>
    <n v="0"/>
    <s v="Y"/>
    <s v="Yes"/>
    <n v="22"/>
    <n v="4"/>
    <n v="1"/>
    <n v="80"/>
    <n v="0"/>
    <n v="9"/>
    <n v="2"/>
    <n v="3"/>
    <n v="8"/>
    <n v="7"/>
    <n v="4"/>
    <n v="7"/>
    <x v="2"/>
    <x v="2"/>
  </r>
  <r>
    <n v="33"/>
    <s v="Yes"/>
    <s v="Travel_Frequently"/>
    <n v="827"/>
    <s v="Research &amp; Development"/>
    <n v="29"/>
    <n v="4"/>
    <s v="Medical"/>
    <n v="1"/>
    <n v="1101"/>
    <n v="1"/>
    <s v="Female"/>
    <n v="54"/>
    <n v="2"/>
    <x v="0"/>
    <s v="Research Scientist"/>
    <n v="3"/>
    <s v="Single"/>
    <x v="749"/>
    <n v="3129"/>
    <n v="1"/>
    <s v="Y"/>
    <s v="No"/>
    <n v="22"/>
    <n v="4"/>
    <n v="2"/>
    <n v="80"/>
    <n v="0"/>
    <n v="14"/>
    <n v="4"/>
    <n v="3"/>
    <n v="13"/>
    <n v="7"/>
    <n v="3"/>
    <n v="8"/>
    <x v="2"/>
    <x v="0"/>
  </r>
  <r>
    <n v="28"/>
    <s v="No"/>
    <s v="Travel_Rarely"/>
    <n v="895"/>
    <s v="Research &amp; Development"/>
    <n v="15"/>
    <n v="2"/>
    <s v="Life Sciences"/>
    <n v="1"/>
    <n v="1102"/>
    <n v="1"/>
    <s v="Male"/>
    <n v="50"/>
    <n v="3"/>
    <x v="1"/>
    <s v="Laboratory Technician"/>
    <n v="3"/>
    <s v="Divorced"/>
    <x v="750"/>
    <n v="22482"/>
    <n v="1"/>
    <s v="Y"/>
    <s v="No"/>
    <n v="16"/>
    <n v="3"/>
    <n v="4"/>
    <n v="80"/>
    <n v="1"/>
    <n v="4"/>
    <n v="5"/>
    <n v="2"/>
    <n v="4"/>
    <n v="2"/>
    <n v="2"/>
    <n v="2"/>
    <x v="2"/>
    <x v="1"/>
  </r>
  <r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x v="0"/>
    <s v="Healthcare Representative"/>
    <n v="4"/>
    <s v="Single"/>
    <x v="751"/>
    <n v="22266"/>
    <n v="0"/>
    <s v="Y"/>
    <s v="No"/>
    <n v="17"/>
    <n v="3"/>
    <n v="3"/>
    <n v="80"/>
    <n v="0"/>
    <n v="7"/>
    <n v="1"/>
    <n v="2"/>
    <n v="6"/>
    <n v="2"/>
    <n v="0"/>
    <n v="4"/>
    <x v="2"/>
    <x v="2"/>
  </r>
  <r>
    <n v="37"/>
    <s v="No"/>
    <s v="Travel_Rarely"/>
    <n v="309"/>
    <s v="Sales"/>
    <n v="10"/>
    <n v="4"/>
    <s v="Life Sciences"/>
    <n v="1"/>
    <n v="1105"/>
    <n v="4"/>
    <s v="Female"/>
    <n v="88"/>
    <n v="2"/>
    <x v="0"/>
    <s v="Sales Executive"/>
    <n v="4"/>
    <s v="Divorced"/>
    <x v="752"/>
    <n v="24223"/>
    <n v="2"/>
    <s v="Y"/>
    <s v="Yes"/>
    <n v="14"/>
    <n v="3"/>
    <n v="3"/>
    <n v="80"/>
    <n v="3"/>
    <n v="8"/>
    <n v="5"/>
    <n v="3"/>
    <n v="1"/>
    <n v="0"/>
    <n v="0"/>
    <n v="0"/>
    <x v="0"/>
    <x v="0"/>
  </r>
  <r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x v="1"/>
    <s v="Laboratory Technician"/>
    <n v="4"/>
    <s v="Married"/>
    <x v="753"/>
    <n v="4605"/>
    <n v="1"/>
    <s v="Y"/>
    <s v="Yes"/>
    <n v="15"/>
    <n v="3"/>
    <n v="2"/>
    <n v="80"/>
    <n v="1"/>
    <n v="7"/>
    <n v="3"/>
    <n v="4"/>
    <n v="7"/>
    <n v="7"/>
    <n v="5"/>
    <n v="6"/>
    <x v="4"/>
    <x v="0"/>
  </r>
  <r>
    <n v="26"/>
    <s v="Yes"/>
    <s v="Travel_Rarely"/>
    <n v="1330"/>
    <s v="Research &amp; Development"/>
    <n v="21"/>
    <n v="3"/>
    <s v="Medical"/>
    <n v="1"/>
    <n v="1107"/>
    <n v="1"/>
    <s v="Male"/>
    <n v="37"/>
    <n v="3"/>
    <x v="1"/>
    <s v="Laboratory Technician"/>
    <n v="3"/>
    <s v="Divorced"/>
    <x v="638"/>
    <n v="19373"/>
    <n v="1"/>
    <s v="Y"/>
    <s v="No"/>
    <n v="20"/>
    <n v="4"/>
    <n v="3"/>
    <n v="80"/>
    <n v="1"/>
    <n v="1"/>
    <n v="0"/>
    <n v="2"/>
    <n v="1"/>
    <n v="1"/>
    <n v="0"/>
    <n v="0"/>
    <x v="2"/>
    <x v="1"/>
  </r>
  <r>
    <n v="33"/>
    <s v="Yes"/>
    <s v="Travel_Rarely"/>
    <n v="1017"/>
    <s v="Research &amp; Development"/>
    <n v="25"/>
    <n v="3"/>
    <s v="Medical"/>
    <n v="1"/>
    <n v="1108"/>
    <n v="1"/>
    <s v="Male"/>
    <n v="55"/>
    <n v="2"/>
    <x v="1"/>
    <s v="Research Scientist"/>
    <n v="2"/>
    <s v="Single"/>
    <x v="754"/>
    <n v="2993"/>
    <n v="4"/>
    <s v="Y"/>
    <s v="Yes"/>
    <n v="20"/>
    <n v="4"/>
    <n v="2"/>
    <n v="80"/>
    <n v="0"/>
    <n v="5"/>
    <n v="0"/>
    <n v="3"/>
    <n v="2"/>
    <n v="2"/>
    <n v="2"/>
    <n v="2"/>
    <x v="2"/>
    <x v="1"/>
  </r>
  <r>
    <n v="42"/>
    <s v="No"/>
    <s v="Travel_Rarely"/>
    <n v="469"/>
    <s v="Research &amp; Development"/>
    <n v="2"/>
    <n v="2"/>
    <s v="Medical"/>
    <n v="1"/>
    <n v="1109"/>
    <n v="4"/>
    <s v="Male"/>
    <n v="35"/>
    <n v="3"/>
    <x v="3"/>
    <s v="Manager"/>
    <n v="1"/>
    <s v="Married"/>
    <x v="755"/>
    <n v="14399"/>
    <n v="0"/>
    <s v="Y"/>
    <s v="No"/>
    <n v="17"/>
    <n v="3"/>
    <n v="4"/>
    <n v="80"/>
    <n v="1"/>
    <n v="23"/>
    <n v="3"/>
    <n v="3"/>
    <n v="22"/>
    <n v="6"/>
    <n v="13"/>
    <n v="7"/>
    <x v="0"/>
    <x v="3"/>
  </r>
  <r>
    <n v="28"/>
    <s v="Yes"/>
    <s v="Travel_Frequently"/>
    <n v="1009"/>
    <s v="Research &amp; Development"/>
    <n v="1"/>
    <n v="3"/>
    <s v="Medical"/>
    <n v="1"/>
    <n v="1111"/>
    <n v="1"/>
    <s v="Male"/>
    <n v="45"/>
    <n v="2"/>
    <x v="1"/>
    <s v="Laboratory Technician"/>
    <n v="2"/>
    <s v="Divorced"/>
    <x v="756"/>
    <n v="7160"/>
    <n v="1"/>
    <s v="Y"/>
    <s v="No"/>
    <n v="15"/>
    <n v="3"/>
    <n v="1"/>
    <n v="80"/>
    <n v="2"/>
    <n v="1"/>
    <n v="2"/>
    <n v="3"/>
    <n v="1"/>
    <n v="0"/>
    <n v="0"/>
    <n v="0"/>
    <x v="2"/>
    <x v="1"/>
  </r>
  <r>
    <n v="50"/>
    <s v="Yes"/>
    <s v="Travel_Frequently"/>
    <n v="959"/>
    <s v="Sales"/>
    <n v="1"/>
    <n v="4"/>
    <s v="Other"/>
    <n v="1"/>
    <n v="1113"/>
    <n v="4"/>
    <s v="Male"/>
    <n v="81"/>
    <n v="3"/>
    <x v="0"/>
    <s v="Sales Executive"/>
    <n v="3"/>
    <s v="Single"/>
    <x v="757"/>
    <n v="17251"/>
    <n v="3"/>
    <s v="Y"/>
    <s v="Yes"/>
    <n v="14"/>
    <n v="3"/>
    <n v="4"/>
    <n v="80"/>
    <n v="0"/>
    <n v="5"/>
    <n v="4"/>
    <n v="3"/>
    <n v="0"/>
    <n v="0"/>
    <n v="0"/>
    <n v="0"/>
    <x v="1"/>
    <x v="0"/>
  </r>
  <r>
    <n v="33"/>
    <s v="No"/>
    <s v="Travel_Frequently"/>
    <n v="970"/>
    <s v="Sales"/>
    <n v="7"/>
    <n v="3"/>
    <s v="Life Sciences"/>
    <n v="1"/>
    <n v="1114"/>
    <n v="4"/>
    <s v="Female"/>
    <n v="30"/>
    <n v="3"/>
    <x v="0"/>
    <s v="Sales Executive"/>
    <n v="2"/>
    <s v="Married"/>
    <x v="758"/>
    <n v="13401"/>
    <n v="0"/>
    <s v="Y"/>
    <s v="No"/>
    <n v="17"/>
    <n v="3"/>
    <n v="3"/>
    <n v="80"/>
    <n v="1"/>
    <n v="4"/>
    <n v="3"/>
    <n v="3"/>
    <n v="3"/>
    <n v="2"/>
    <n v="0"/>
    <n v="2"/>
    <x v="2"/>
    <x v="0"/>
  </r>
  <r>
    <n v="34"/>
    <s v="No"/>
    <s v="Non-Travel"/>
    <n v="697"/>
    <s v="Research &amp; Development"/>
    <n v="3"/>
    <n v="4"/>
    <s v="Life Sciences"/>
    <n v="1"/>
    <n v="1115"/>
    <n v="3"/>
    <s v="Male"/>
    <n v="40"/>
    <n v="2"/>
    <x v="1"/>
    <s v="Research Scientist"/>
    <n v="4"/>
    <s v="Married"/>
    <x v="759"/>
    <n v="22478"/>
    <n v="3"/>
    <s v="Y"/>
    <s v="No"/>
    <n v="17"/>
    <n v="3"/>
    <n v="4"/>
    <n v="80"/>
    <n v="3"/>
    <n v="6"/>
    <n v="2"/>
    <n v="3"/>
    <n v="0"/>
    <n v="0"/>
    <n v="0"/>
    <n v="0"/>
    <x v="2"/>
    <x v="1"/>
  </r>
  <r>
    <n v="48"/>
    <s v="No"/>
    <s v="Non-Travel"/>
    <n v="1262"/>
    <s v="Research &amp; Development"/>
    <n v="1"/>
    <n v="4"/>
    <s v="Medical"/>
    <n v="1"/>
    <n v="1116"/>
    <n v="1"/>
    <s v="Male"/>
    <n v="35"/>
    <n v="4"/>
    <x v="3"/>
    <s v="Manager"/>
    <n v="4"/>
    <s v="Single"/>
    <x v="760"/>
    <n v="16154"/>
    <n v="2"/>
    <s v="Y"/>
    <s v="No"/>
    <n v="22"/>
    <n v="4"/>
    <n v="3"/>
    <n v="80"/>
    <n v="0"/>
    <n v="27"/>
    <n v="3"/>
    <n v="2"/>
    <n v="5"/>
    <n v="4"/>
    <n v="2"/>
    <n v="1"/>
    <x v="1"/>
    <x v="3"/>
  </r>
  <r>
    <n v="45"/>
    <s v="No"/>
    <s v="Non-Travel"/>
    <n v="1050"/>
    <s v="Sales"/>
    <n v="9"/>
    <n v="4"/>
    <s v="Life Sciences"/>
    <n v="1"/>
    <n v="1117"/>
    <n v="2"/>
    <s v="Female"/>
    <n v="65"/>
    <n v="2"/>
    <x v="0"/>
    <s v="Sales Executive"/>
    <n v="3"/>
    <s v="Married"/>
    <x v="761"/>
    <n v="17970"/>
    <n v="1"/>
    <s v="Y"/>
    <s v="No"/>
    <n v="13"/>
    <n v="3"/>
    <n v="4"/>
    <n v="80"/>
    <n v="1"/>
    <n v="15"/>
    <n v="2"/>
    <n v="3"/>
    <n v="15"/>
    <n v="10"/>
    <n v="4"/>
    <n v="12"/>
    <x v="0"/>
    <x v="0"/>
  </r>
  <r>
    <n v="52"/>
    <s v="No"/>
    <s v="Travel_Rarely"/>
    <n v="994"/>
    <s v="Research &amp; Development"/>
    <n v="7"/>
    <n v="4"/>
    <s v="Life Sciences"/>
    <n v="1"/>
    <n v="1118"/>
    <n v="2"/>
    <s v="Male"/>
    <n v="87"/>
    <n v="3"/>
    <x v="2"/>
    <s v="Healthcare Representative"/>
    <n v="2"/>
    <s v="Single"/>
    <x v="762"/>
    <n v="15322"/>
    <n v="7"/>
    <s v="Y"/>
    <s v="No"/>
    <n v="19"/>
    <n v="3"/>
    <n v="4"/>
    <n v="80"/>
    <n v="0"/>
    <n v="18"/>
    <n v="4"/>
    <n v="3"/>
    <n v="8"/>
    <n v="6"/>
    <n v="4"/>
    <n v="0"/>
    <x v="1"/>
    <x v="2"/>
  </r>
  <r>
    <n v="38"/>
    <s v="No"/>
    <s v="Travel_Rarely"/>
    <n v="770"/>
    <s v="Sales"/>
    <n v="10"/>
    <n v="4"/>
    <s v="Marketing"/>
    <n v="1"/>
    <n v="1119"/>
    <n v="3"/>
    <s v="Male"/>
    <n v="73"/>
    <n v="2"/>
    <x v="2"/>
    <s v="Sales Executive"/>
    <n v="3"/>
    <s v="Divorced"/>
    <x v="763"/>
    <n v="5569"/>
    <n v="0"/>
    <s v="Y"/>
    <s v="Yes"/>
    <n v="14"/>
    <n v="3"/>
    <n v="2"/>
    <n v="80"/>
    <n v="2"/>
    <n v="9"/>
    <n v="2"/>
    <n v="3"/>
    <n v="8"/>
    <n v="7"/>
    <n v="2"/>
    <n v="7"/>
    <x v="0"/>
    <x v="2"/>
  </r>
  <r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x v="1"/>
    <s v="Research Scientist"/>
    <n v="4"/>
    <s v="Divorced"/>
    <x v="764"/>
    <n v="26968"/>
    <n v="4"/>
    <s v="Y"/>
    <s v="No"/>
    <n v="22"/>
    <n v="4"/>
    <n v="1"/>
    <n v="80"/>
    <n v="1"/>
    <n v="11"/>
    <n v="1"/>
    <n v="3"/>
    <n v="7"/>
    <n v="5"/>
    <n v="1"/>
    <n v="7"/>
    <x v="2"/>
    <x v="1"/>
  </r>
  <r>
    <n v="28"/>
    <s v="No"/>
    <s v="Travel_Rarely"/>
    <n v="950"/>
    <s v="Research &amp; Development"/>
    <n v="3"/>
    <n v="3"/>
    <s v="Medical"/>
    <n v="1"/>
    <n v="1121"/>
    <n v="4"/>
    <s v="Female"/>
    <n v="93"/>
    <n v="3"/>
    <x v="2"/>
    <s v="Manufacturing Director"/>
    <n v="2"/>
    <s v="Divorced"/>
    <x v="765"/>
    <n v="8039"/>
    <n v="0"/>
    <s v="Y"/>
    <s v="No"/>
    <n v="17"/>
    <n v="3"/>
    <n v="2"/>
    <n v="80"/>
    <n v="3"/>
    <n v="10"/>
    <n v="3"/>
    <n v="2"/>
    <n v="9"/>
    <n v="7"/>
    <n v="1"/>
    <n v="7"/>
    <x v="2"/>
    <x v="2"/>
  </r>
  <r>
    <n v="46"/>
    <s v="No"/>
    <s v="Travel_Rarely"/>
    <n v="406"/>
    <s v="Sales"/>
    <n v="3"/>
    <n v="1"/>
    <s v="Marketing"/>
    <n v="1"/>
    <n v="1124"/>
    <n v="1"/>
    <s v="Male"/>
    <n v="52"/>
    <n v="3"/>
    <x v="3"/>
    <s v="Manager"/>
    <n v="3"/>
    <s v="Married"/>
    <x v="766"/>
    <n v="15596"/>
    <n v="3"/>
    <s v="Y"/>
    <s v="No"/>
    <n v="12"/>
    <n v="3"/>
    <n v="4"/>
    <n v="80"/>
    <n v="1"/>
    <n v="23"/>
    <n v="3"/>
    <n v="3"/>
    <n v="12"/>
    <n v="9"/>
    <n v="4"/>
    <n v="9"/>
    <x v="1"/>
    <x v="3"/>
  </r>
  <r>
    <n v="38"/>
    <s v="No"/>
    <s v="Travel_Rarely"/>
    <n v="130"/>
    <s v="Sales"/>
    <n v="2"/>
    <n v="2"/>
    <s v="Marketing"/>
    <n v="1"/>
    <n v="1125"/>
    <n v="4"/>
    <s v="Male"/>
    <n v="32"/>
    <n v="3"/>
    <x v="2"/>
    <s v="Sales Executive"/>
    <n v="2"/>
    <s v="Single"/>
    <x v="767"/>
    <n v="20619"/>
    <n v="7"/>
    <s v="Y"/>
    <s v="No"/>
    <n v="16"/>
    <n v="3"/>
    <n v="3"/>
    <n v="80"/>
    <n v="0"/>
    <n v="10"/>
    <n v="2"/>
    <n v="3"/>
    <n v="1"/>
    <n v="0"/>
    <n v="0"/>
    <n v="0"/>
    <x v="0"/>
    <x v="2"/>
  </r>
  <r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x v="2"/>
    <s v="Manufacturing Director"/>
    <n v="1"/>
    <s v="Married"/>
    <x v="768"/>
    <n v="11535"/>
    <n v="8"/>
    <s v="Y"/>
    <s v="No"/>
    <n v="11"/>
    <n v="3"/>
    <n v="3"/>
    <n v="80"/>
    <n v="1"/>
    <n v="18"/>
    <n v="1"/>
    <n v="3"/>
    <n v="8"/>
    <n v="7"/>
    <n v="0"/>
    <n v="1"/>
    <x v="0"/>
    <x v="2"/>
  </r>
  <r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x v="3"/>
    <s v="Healthcare Representative"/>
    <n v="4"/>
    <s v="Divorced"/>
    <x v="769"/>
    <n v="13547"/>
    <n v="7"/>
    <s v="Y"/>
    <s v="No"/>
    <n v="11"/>
    <n v="3"/>
    <n v="4"/>
    <n v="80"/>
    <n v="3"/>
    <n v="21"/>
    <n v="4"/>
    <n v="3"/>
    <n v="18"/>
    <n v="7"/>
    <n v="11"/>
    <n v="5"/>
    <x v="0"/>
    <x v="3"/>
  </r>
  <r>
    <n v="40"/>
    <s v="No"/>
    <s v="Travel_Rarely"/>
    <n v="1308"/>
    <s v="Research &amp; Development"/>
    <n v="14"/>
    <n v="3"/>
    <s v="Medical"/>
    <n v="1"/>
    <n v="1128"/>
    <n v="3"/>
    <s v="Male"/>
    <n v="44"/>
    <n v="2"/>
    <x v="4"/>
    <s v="Research Director"/>
    <n v="3"/>
    <s v="Single"/>
    <x v="770"/>
    <n v="17544"/>
    <n v="1"/>
    <s v="Y"/>
    <s v="No"/>
    <n v="14"/>
    <n v="3"/>
    <n v="1"/>
    <n v="80"/>
    <n v="0"/>
    <n v="21"/>
    <n v="2"/>
    <n v="4"/>
    <n v="20"/>
    <n v="7"/>
    <n v="4"/>
    <n v="9"/>
    <x v="0"/>
    <x v="3"/>
  </r>
  <r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x v="1"/>
    <s v="Research Scientist"/>
    <n v="2"/>
    <s v="Single"/>
    <x v="266"/>
    <n v="25326"/>
    <n v="1"/>
    <s v="Y"/>
    <s v="Yes"/>
    <n v="11"/>
    <n v="3"/>
    <n v="3"/>
    <n v="80"/>
    <n v="0"/>
    <n v="2"/>
    <n v="6"/>
    <n v="4"/>
    <n v="2"/>
    <n v="2"/>
    <n v="2"/>
    <n v="2"/>
    <x v="4"/>
    <x v="1"/>
  </r>
  <r>
    <n v="39"/>
    <s v="No"/>
    <s v="Non-Travel"/>
    <n v="439"/>
    <s v="Research &amp; Development"/>
    <n v="9"/>
    <n v="3"/>
    <s v="Life Sciences"/>
    <n v="1"/>
    <n v="1132"/>
    <n v="3"/>
    <s v="Male"/>
    <n v="70"/>
    <n v="3"/>
    <x v="0"/>
    <s v="Laboratory Technician"/>
    <n v="2"/>
    <s v="Single"/>
    <x v="771"/>
    <n v="8770"/>
    <n v="9"/>
    <s v="Y"/>
    <s v="No"/>
    <n v="15"/>
    <n v="3"/>
    <n v="3"/>
    <n v="80"/>
    <n v="0"/>
    <n v="9"/>
    <n v="2"/>
    <n v="2"/>
    <n v="5"/>
    <n v="4"/>
    <n v="0"/>
    <n v="3"/>
    <x v="0"/>
    <x v="0"/>
  </r>
  <r>
    <n v="36"/>
    <s v="No"/>
    <s v="Non-Travel"/>
    <n v="217"/>
    <s v="Research &amp; Development"/>
    <n v="18"/>
    <n v="4"/>
    <s v="Life Sciences"/>
    <n v="1"/>
    <n v="1133"/>
    <n v="1"/>
    <s v="Male"/>
    <n v="78"/>
    <n v="3"/>
    <x v="0"/>
    <s v="Manufacturing Director"/>
    <n v="4"/>
    <s v="Single"/>
    <x v="772"/>
    <n v="23238"/>
    <n v="2"/>
    <s v="Y"/>
    <s v="No"/>
    <n v="20"/>
    <n v="4"/>
    <n v="1"/>
    <n v="80"/>
    <n v="0"/>
    <n v="18"/>
    <n v="0"/>
    <n v="3"/>
    <n v="11"/>
    <n v="9"/>
    <n v="0"/>
    <n v="9"/>
    <x v="0"/>
    <x v="2"/>
  </r>
  <r>
    <n v="31"/>
    <s v="No"/>
    <s v="Travel_Frequently"/>
    <n v="793"/>
    <s v="Sales"/>
    <n v="20"/>
    <n v="3"/>
    <s v="Life Sciences"/>
    <n v="1"/>
    <n v="1135"/>
    <n v="3"/>
    <s v="Male"/>
    <n v="67"/>
    <n v="4"/>
    <x v="1"/>
    <s v="Sales Representative"/>
    <n v="4"/>
    <s v="Married"/>
    <x v="773"/>
    <n v="21981"/>
    <n v="0"/>
    <s v="Y"/>
    <s v="No"/>
    <n v="12"/>
    <n v="3"/>
    <n v="1"/>
    <n v="80"/>
    <n v="1"/>
    <n v="3"/>
    <n v="4"/>
    <n v="3"/>
    <n v="2"/>
    <n v="2"/>
    <n v="2"/>
    <n v="2"/>
    <x v="2"/>
    <x v="1"/>
  </r>
  <r>
    <n v="28"/>
    <s v="No"/>
    <s v="Travel_Rarely"/>
    <n v="1451"/>
    <s v="Research &amp; Development"/>
    <n v="2"/>
    <n v="1"/>
    <s v="Life Sciences"/>
    <n v="1"/>
    <n v="1136"/>
    <n v="1"/>
    <s v="Male"/>
    <n v="67"/>
    <n v="2"/>
    <x v="1"/>
    <s v="Research Scientist"/>
    <n v="2"/>
    <s v="Married"/>
    <x v="774"/>
    <n v="19911"/>
    <n v="0"/>
    <s v="Y"/>
    <s v="No"/>
    <n v="17"/>
    <n v="3"/>
    <n v="1"/>
    <n v="80"/>
    <n v="0"/>
    <n v="6"/>
    <n v="2"/>
    <n v="1"/>
    <n v="5"/>
    <n v="3"/>
    <n v="0"/>
    <n v="4"/>
    <x v="2"/>
    <x v="0"/>
  </r>
  <r>
    <n v="35"/>
    <s v="No"/>
    <s v="Travel_Frequently"/>
    <n v="1182"/>
    <s v="Sales"/>
    <n v="11"/>
    <n v="2"/>
    <s v="Marketing"/>
    <n v="1"/>
    <n v="1137"/>
    <n v="4"/>
    <s v="Male"/>
    <n v="54"/>
    <n v="3"/>
    <x v="0"/>
    <s v="Sales Executive"/>
    <n v="4"/>
    <s v="Divorced"/>
    <x v="775"/>
    <n v="18500"/>
    <n v="1"/>
    <s v="Y"/>
    <s v="No"/>
    <n v="11"/>
    <n v="3"/>
    <n v="4"/>
    <n v="80"/>
    <n v="1"/>
    <n v="5"/>
    <n v="3"/>
    <n v="3"/>
    <n v="5"/>
    <n v="2"/>
    <n v="0"/>
    <n v="2"/>
    <x v="2"/>
    <x v="0"/>
  </r>
  <r>
    <n v="49"/>
    <s v="No"/>
    <s v="Travel_Rarely"/>
    <n v="174"/>
    <s v="Sales"/>
    <n v="8"/>
    <n v="4"/>
    <s v="Technical Degree"/>
    <n v="1"/>
    <n v="1138"/>
    <n v="4"/>
    <s v="Male"/>
    <n v="56"/>
    <n v="2"/>
    <x v="3"/>
    <s v="Sales Executive"/>
    <n v="2"/>
    <s v="Married"/>
    <x v="776"/>
    <n v="11879"/>
    <n v="6"/>
    <s v="Y"/>
    <s v="No"/>
    <n v="17"/>
    <n v="3"/>
    <n v="2"/>
    <n v="80"/>
    <n v="1"/>
    <n v="22"/>
    <n v="3"/>
    <n v="3"/>
    <n v="9"/>
    <n v="8"/>
    <n v="2"/>
    <n v="3"/>
    <x v="1"/>
    <x v="3"/>
  </r>
  <r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x v="0"/>
    <s v="Manufacturing Director"/>
    <n v="3"/>
    <s v="Single"/>
    <x v="777"/>
    <n v="15834"/>
    <n v="2"/>
    <s v="Y"/>
    <s v="No"/>
    <n v="11"/>
    <n v="3"/>
    <n v="4"/>
    <n v="80"/>
    <n v="0"/>
    <n v="5"/>
    <n v="3"/>
    <n v="2"/>
    <n v="3"/>
    <n v="2"/>
    <n v="0"/>
    <n v="2"/>
    <x v="2"/>
    <x v="0"/>
  </r>
  <r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x v="1"/>
    <s v="Research Scientist"/>
    <n v="2"/>
    <s v="Divorced"/>
    <x v="778"/>
    <n v="17940"/>
    <n v="0"/>
    <s v="Y"/>
    <s v="No"/>
    <n v="14"/>
    <n v="3"/>
    <n v="4"/>
    <n v="80"/>
    <n v="2"/>
    <n v="8"/>
    <n v="2"/>
    <n v="2"/>
    <n v="7"/>
    <n v="5"/>
    <n v="1"/>
    <n v="1"/>
    <x v="2"/>
    <x v="0"/>
  </r>
  <r>
    <n v="42"/>
    <s v="No"/>
    <s v="Travel_Rarely"/>
    <n v="188"/>
    <s v="Research &amp; Development"/>
    <n v="29"/>
    <n v="3"/>
    <s v="Medical"/>
    <n v="1"/>
    <n v="1148"/>
    <n v="2"/>
    <s v="Male"/>
    <n v="56"/>
    <n v="1"/>
    <x v="0"/>
    <s v="Laboratory Technician"/>
    <n v="4"/>
    <s v="Single"/>
    <x v="779"/>
    <n v="9558"/>
    <n v="4"/>
    <s v="Y"/>
    <s v="No"/>
    <n v="19"/>
    <n v="3"/>
    <n v="1"/>
    <n v="80"/>
    <n v="0"/>
    <n v="16"/>
    <n v="3"/>
    <n v="3"/>
    <n v="1"/>
    <n v="0"/>
    <n v="0"/>
    <n v="0"/>
    <x v="0"/>
    <x v="0"/>
  </r>
  <r>
    <n v="29"/>
    <s v="No"/>
    <s v="Travel_Rarely"/>
    <n v="718"/>
    <s v="Research &amp; Development"/>
    <n v="8"/>
    <n v="1"/>
    <s v="Medical"/>
    <n v="1"/>
    <n v="1150"/>
    <n v="2"/>
    <s v="Male"/>
    <n v="79"/>
    <n v="2"/>
    <x v="0"/>
    <s v="Manufacturing Director"/>
    <n v="4"/>
    <s v="Married"/>
    <x v="780"/>
    <n v="17689"/>
    <n v="1"/>
    <s v="Y"/>
    <s v="Yes"/>
    <n v="15"/>
    <n v="3"/>
    <n v="3"/>
    <n v="80"/>
    <n v="1"/>
    <n v="10"/>
    <n v="2"/>
    <n v="2"/>
    <n v="10"/>
    <n v="7"/>
    <n v="1"/>
    <n v="2"/>
    <x v="2"/>
    <x v="0"/>
  </r>
  <r>
    <n v="38"/>
    <s v="No"/>
    <s v="Travel_Rarely"/>
    <n v="433"/>
    <s v="Human Resources"/>
    <n v="1"/>
    <n v="3"/>
    <s v="Human Resources"/>
    <n v="1"/>
    <n v="1152"/>
    <n v="3"/>
    <s v="Male"/>
    <n v="37"/>
    <n v="4"/>
    <x v="1"/>
    <s v="Human Resources"/>
    <n v="3"/>
    <s v="Married"/>
    <x v="781"/>
    <n v="6004"/>
    <n v="1"/>
    <s v="Y"/>
    <s v="No"/>
    <n v="13"/>
    <n v="3"/>
    <n v="4"/>
    <n v="80"/>
    <n v="1"/>
    <n v="7"/>
    <n v="2"/>
    <n v="4"/>
    <n v="7"/>
    <n v="6"/>
    <n v="5"/>
    <n v="0"/>
    <x v="0"/>
    <x v="1"/>
  </r>
  <r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x v="1"/>
    <s v="Research Scientist"/>
    <n v="3"/>
    <s v="Divorced"/>
    <x v="68"/>
    <n v="22088"/>
    <n v="1"/>
    <s v="Y"/>
    <s v="Yes"/>
    <n v="14"/>
    <n v="3"/>
    <n v="4"/>
    <n v="80"/>
    <n v="1"/>
    <n v="3"/>
    <n v="2"/>
    <n v="3"/>
    <n v="3"/>
    <n v="1"/>
    <n v="0"/>
    <n v="2"/>
    <x v="2"/>
    <x v="1"/>
  </r>
  <r>
    <n v="18"/>
    <s v="Yes"/>
    <s v="Non-Travel"/>
    <n v="247"/>
    <s v="Research &amp; Development"/>
    <n v="8"/>
    <n v="1"/>
    <s v="Medical"/>
    <n v="1"/>
    <n v="1156"/>
    <n v="3"/>
    <s v="Male"/>
    <n v="80"/>
    <n v="3"/>
    <x v="1"/>
    <s v="Laboratory Technician"/>
    <n v="3"/>
    <s v="Single"/>
    <x v="782"/>
    <n v="13556"/>
    <n v="1"/>
    <s v="Y"/>
    <s v="No"/>
    <n v="12"/>
    <n v="3"/>
    <n v="4"/>
    <n v="80"/>
    <n v="0"/>
    <n v="0"/>
    <n v="0"/>
    <n v="3"/>
    <n v="0"/>
    <n v="0"/>
    <n v="0"/>
    <n v="0"/>
    <x v="4"/>
    <x v="1"/>
  </r>
  <r>
    <n v="33"/>
    <s v="Yes"/>
    <s v="Travel_Rarely"/>
    <n v="603"/>
    <s v="Sales"/>
    <n v="9"/>
    <n v="4"/>
    <s v="Marketing"/>
    <n v="1"/>
    <n v="1157"/>
    <n v="1"/>
    <s v="Female"/>
    <n v="77"/>
    <n v="3"/>
    <x v="0"/>
    <s v="Sales Executive"/>
    <n v="1"/>
    <s v="Single"/>
    <x v="783"/>
    <n v="18385"/>
    <n v="0"/>
    <s v="Y"/>
    <s v="Yes"/>
    <n v="17"/>
    <n v="3"/>
    <n v="1"/>
    <n v="80"/>
    <n v="0"/>
    <n v="6"/>
    <n v="3"/>
    <n v="3"/>
    <n v="5"/>
    <n v="2"/>
    <n v="0"/>
    <n v="3"/>
    <x v="2"/>
    <x v="2"/>
  </r>
  <r>
    <n v="41"/>
    <s v="No"/>
    <s v="Travel_Rarely"/>
    <n v="167"/>
    <s v="Research &amp; Development"/>
    <n v="12"/>
    <n v="4"/>
    <s v="Life Sciences"/>
    <n v="1"/>
    <n v="1158"/>
    <n v="2"/>
    <s v="Male"/>
    <n v="46"/>
    <n v="3"/>
    <x v="1"/>
    <s v="Laboratory Technician"/>
    <n v="4"/>
    <s v="Married"/>
    <x v="784"/>
    <n v="9051"/>
    <n v="3"/>
    <s v="Y"/>
    <s v="Yes"/>
    <n v="11"/>
    <n v="3"/>
    <n v="1"/>
    <n v="80"/>
    <n v="1"/>
    <n v="6"/>
    <n v="4"/>
    <n v="3"/>
    <n v="1"/>
    <n v="0"/>
    <n v="0"/>
    <n v="0"/>
    <x v="0"/>
    <x v="0"/>
  </r>
  <r>
    <n v="31"/>
    <s v="Yes"/>
    <s v="Travel_Frequently"/>
    <n v="874"/>
    <s v="Research &amp; Development"/>
    <n v="15"/>
    <n v="3"/>
    <s v="Medical"/>
    <n v="1"/>
    <n v="1160"/>
    <n v="3"/>
    <s v="Male"/>
    <n v="72"/>
    <n v="3"/>
    <x v="1"/>
    <s v="Laboratory Technician"/>
    <n v="3"/>
    <s v="Married"/>
    <x v="353"/>
    <n v="6233"/>
    <n v="1"/>
    <s v="Y"/>
    <s v="No"/>
    <n v="12"/>
    <n v="3"/>
    <n v="3"/>
    <n v="80"/>
    <n v="1"/>
    <n v="2"/>
    <n v="5"/>
    <n v="2"/>
    <n v="2"/>
    <n v="2"/>
    <n v="2"/>
    <n v="2"/>
    <x v="2"/>
    <x v="1"/>
  </r>
  <r>
    <n v="37"/>
    <s v="No"/>
    <s v="Travel_Rarely"/>
    <n v="367"/>
    <s v="Research &amp; Development"/>
    <n v="25"/>
    <n v="2"/>
    <s v="Medical"/>
    <n v="1"/>
    <n v="1161"/>
    <n v="3"/>
    <s v="Female"/>
    <n v="52"/>
    <n v="2"/>
    <x v="0"/>
    <s v="Healthcare Representative"/>
    <n v="4"/>
    <s v="Divorced"/>
    <x v="785"/>
    <n v="17171"/>
    <n v="7"/>
    <s v="Y"/>
    <s v="No"/>
    <n v="13"/>
    <n v="3"/>
    <n v="3"/>
    <n v="80"/>
    <n v="2"/>
    <n v="9"/>
    <n v="2"/>
    <n v="3"/>
    <n v="6"/>
    <n v="2"/>
    <n v="1"/>
    <n v="3"/>
    <x v="0"/>
    <x v="0"/>
  </r>
  <r>
    <n v="27"/>
    <s v="No"/>
    <s v="Travel_Rarely"/>
    <n v="199"/>
    <s v="Research &amp; Development"/>
    <n v="6"/>
    <n v="3"/>
    <s v="Life Sciences"/>
    <n v="1"/>
    <n v="1162"/>
    <n v="4"/>
    <s v="Male"/>
    <n v="55"/>
    <n v="2"/>
    <x v="1"/>
    <s v="Research Scientist"/>
    <n v="3"/>
    <s v="Married"/>
    <x v="786"/>
    <n v="7950"/>
    <n v="1"/>
    <s v="Y"/>
    <s v="No"/>
    <n v="13"/>
    <n v="3"/>
    <n v="3"/>
    <n v="80"/>
    <n v="1"/>
    <n v="4"/>
    <n v="0"/>
    <n v="3"/>
    <n v="4"/>
    <n v="2"/>
    <n v="2"/>
    <n v="2"/>
    <x v="2"/>
    <x v="1"/>
  </r>
  <r>
    <n v="34"/>
    <s v="No"/>
    <s v="Travel_Rarely"/>
    <n v="1400"/>
    <s v="Sales"/>
    <n v="9"/>
    <n v="1"/>
    <s v="Life Sciences"/>
    <n v="1"/>
    <n v="1163"/>
    <n v="2"/>
    <s v="Female"/>
    <n v="70"/>
    <n v="3"/>
    <x v="0"/>
    <s v="Sales Executive"/>
    <n v="3"/>
    <s v="Married"/>
    <x v="787"/>
    <n v="5829"/>
    <n v="1"/>
    <s v="Y"/>
    <s v="No"/>
    <n v="20"/>
    <n v="4"/>
    <n v="1"/>
    <n v="80"/>
    <n v="0"/>
    <n v="6"/>
    <n v="3"/>
    <n v="2"/>
    <n v="6"/>
    <n v="5"/>
    <n v="1"/>
    <n v="3"/>
    <x v="2"/>
    <x v="0"/>
  </r>
  <r>
    <n v="35"/>
    <s v="No"/>
    <s v="Travel_Rarely"/>
    <n v="528"/>
    <s v="Human Resources"/>
    <n v="8"/>
    <n v="4"/>
    <s v="Technical Degree"/>
    <n v="1"/>
    <n v="1164"/>
    <n v="3"/>
    <s v="Male"/>
    <n v="100"/>
    <n v="3"/>
    <x v="1"/>
    <s v="Human Resources"/>
    <n v="3"/>
    <s v="Single"/>
    <x v="788"/>
    <n v="7108"/>
    <n v="1"/>
    <s v="Y"/>
    <s v="No"/>
    <n v="17"/>
    <n v="3"/>
    <n v="2"/>
    <n v="80"/>
    <n v="0"/>
    <n v="6"/>
    <n v="2"/>
    <n v="1"/>
    <n v="5"/>
    <n v="4"/>
    <n v="1"/>
    <n v="4"/>
    <x v="2"/>
    <x v="0"/>
  </r>
  <r>
    <n v="29"/>
    <s v="Yes"/>
    <s v="Travel_Rarely"/>
    <n v="408"/>
    <s v="Sales"/>
    <n v="23"/>
    <n v="1"/>
    <s v="Life Sciences"/>
    <n v="1"/>
    <n v="1165"/>
    <n v="4"/>
    <s v="Female"/>
    <n v="45"/>
    <n v="2"/>
    <x v="2"/>
    <s v="Sales Executive"/>
    <n v="1"/>
    <s v="Married"/>
    <x v="789"/>
    <n v="11162"/>
    <n v="1"/>
    <s v="Y"/>
    <s v="No"/>
    <n v="13"/>
    <n v="3"/>
    <n v="1"/>
    <n v="80"/>
    <n v="1"/>
    <n v="11"/>
    <n v="3"/>
    <n v="1"/>
    <n v="11"/>
    <n v="8"/>
    <n v="3"/>
    <n v="10"/>
    <x v="2"/>
    <x v="2"/>
  </r>
  <r>
    <n v="40"/>
    <s v="No"/>
    <s v="Travel_Frequently"/>
    <n v="593"/>
    <s v="Research &amp; Development"/>
    <n v="9"/>
    <n v="4"/>
    <s v="Medical"/>
    <n v="1"/>
    <n v="1166"/>
    <n v="2"/>
    <s v="Female"/>
    <n v="88"/>
    <n v="3"/>
    <x v="2"/>
    <s v="Research Director"/>
    <n v="3"/>
    <s v="Single"/>
    <x v="790"/>
    <n v="13782"/>
    <n v="9"/>
    <s v="Y"/>
    <s v="No"/>
    <n v="17"/>
    <n v="3"/>
    <n v="3"/>
    <n v="80"/>
    <n v="0"/>
    <n v="20"/>
    <n v="3"/>
    <n v="2"/>
    <n v="18"/>
    <n v="7"/>
    <n v="2"/>
    <n v="13"/>
    <x v="0"/>
    <x v="3"/>
  </r>
  <r>
    <n v="42"/>
    <s v="Yes"/>
    <s v="Travel_Frequently"/>
    <n v="481"/>
    <s v="Sales"/>
    <n v="12"/>
    <n v="3"/>
    <s v="Life Sciences"/>
    <n v="1"/>
    <n v="1167"/>
    <n v="3"/>
    <s v="Male"/>
    <n v="44"/>
    <n v="3"/>
    <x v="3"/>
    <s v="Sales Executive"/>
    <n v="1"/>
    <s v="Single"/>
    <x v="791"/>
    <n v="2447"/>
    <n v="0"/>
    <s v="Y"/>
    <s v="Yes"/>
    <n v="12"/>
    <n v="3"/>
    <n v="2"/>
    <n v="80"/>
    <n v="0"/>
    <n v="22"/>
    <n v="2"/>
    <n v="2"/>
    <n v="21"/>
    <n v="9"/>
    <n v="13"/>
    <n v="14"/>
    <x v="0"/>
    <x v="3"/>
  </r>
  <r>
    <n v="42"/>
    <s v="No"/>
    <s v="Travel_Rarely"/>
    <n v="647"/>
    <s v="Sales"/>
    <n v="4"/>
    <n v="4"/>
    <s v="Marketing"/>
    <n v="1"/>
    <n v="1171"/>
    <n v="2"/>
    <s v="Male"/>
    <n v="45"/>
    <n v="3"/>
    <x v="0"/>
    <s v="Sales Executive"/>
    <n v="1"/>
    <s v="Single"/>
    <x v="792"/>
    <n v="2253"/>
    <n v="7"/>
    <s v="Y"/>
    <s v="No"/>
    <n v="13"/>
    <n v="3"/>
    <n v="4"/>
    <n v="80"/>
    <n v="0"/>
    <n v="9"/>
    <n v="3"/>
    <n v="4"/>
    <n v="6"/>
    <n v="4"/>
    <n v="1"/>
    <n v="5"/>
    <x v="0"/>
    <x v="0"/>
  </r>
  <r>
    <n v="35"/>
    <s v="No"/>
    <s v="Travel_Rarely"/>
    <n v="982"/>
    <s v="Research &amp; Development"/>
    <n v="1"/>
    <n v="4"/>
    <s v="Medical"/>
    <n v="1"/>
    <n v="1172"/>
    <n v="4"/>
    <s v="Male"/>
    <n v="58"/>
    <n v="2"/>
    <x v="1"/>
    <s v="Laboratory Technician"/>
    <n v="3"/>
    <s v="Married"/>
    <x v="384"/>
    <n v="16340"/>
    <n v="6"/>
    <s v="Y"/>
    <s v="No"/>
    <n v="12"/>
    <n v="3"/>
    <n v="2"/>
    <n v="80"/>
    <n v="1"/>
    <n v="10"/>
    <n v="2"/>
    <n v="3"/>
    <n v="8"/>
    <n v="0"/>
    <n v="1"/>
    <n v="7"/>
    <x v="2"/>
    <x v="1"/>
  </r>
  <r>
    <n v="24"/>
    <s v="No"/>
    <s v="Travel_Rarely"/>
    <n v="477"/>
    <s v="Research &amp; Development"/>
    <n v="24"/>
    <n v="3"/>
    <s v="Medical"/>
    <n v="1"/>
    <n v="1173"/>
    <n v="4"/>
    <s v="Male"/>
    <n v="49"/>
    <n v="3"/>
    <x v="1"/>
    <s v="Laboratory Technician"/>
    <n v="2"/>
    <s v="Single"/>
    <x v="793"/>
    <n v="6409"/>
    <n v="8"/>
    <s v="Y"/>
    <s v="No"/>
    <n v="22"/>
    <n v="4"/>
    <n v="4"/>
    <n v="80"/>
    <n v="0"/>
    <n v="6"/>
    <n v="2"/>
    <n v="3"/>
    <n v="4"/>
    <n v="3"/>
    <n v="1"/>
    <n v="2"/>
    <x v="4"/>
    <x v="0"/>
  </r>
  <r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x v="1"/>
    <s v="Laboratory Technician"/>
    <n v="4"/>
    <s v="Married"/>
    <x v="605"/>
    <n v="22955"/>
    <n v="1"/>
    <s v="Y"/>
    <s v="Yes"/>
    <n v="11"/>
    <n v="3"/>
    <n v="4"/>
    <n v="80"/>
    <n v="0"/>
    <n v="1"/>
    <n v="4"/>
    <n v="2"/>
    <n v="1"/>
    <n v="1"/>
    <n v="0"/>
    <n v="0"/>
    <x v="2"/>
    <x v="1"/>
  </r>
  <r>
    <n v="26"/>
    <s v="No"/>
    <s v="Travel_Rarely"/>
    <n v="1384"/>
    <s v="Research &amp; Development"/>
    <n v="3"/>
    <n v="4"/>
    <s v="Medical"/>
    <n v="1"/>
    <n v="1177"/>
    <n v="1"/>
    <s v="Male"/>
    <n v="82"/>
    <n v="4"/>
    <x v="1"/>
    <s v="Laboratory Technician"/>
    <n v="4"/>
    <s v="Married"/>
    <x v="794"/>
    <n v="13421"/>
    <n v="1"/>
    <s v="Y"/>
    <s v="No"/>
    <n v="22"/>
    <n v="4"/>
    <n v="2"/>
    <n v="80"/>
    <n v="1"/>
    <n v="8"/>
    <n v="2"/>
    <n v="3"/>
    <n v="8"/>
    <n v="7"/>
    <n v="0"/>
    <n v="7"/>
    <x v="2"/>
    <x v="0"/>
  </r>
  <r>
    <n v="30"/>
    <s v="No"/>
    <s v="Travel_Rarely"/>
    <n v="852"/>
    <s v="Sales"/>
    <n v="10"/>
    <n v="3"/>
    <s v="Marketing"/>
    <n v="1"/>
    <n v="1179"/>
    <n v="3"/>
    <s v="Male"/>
    <n v="72"/>
    <n v="2"/>
    <x v="0"/>
    <s v="Sales Executive"/>
    <n v="3"/>
    <s v="Married"/>
    <x v="795"/>
    <n v="2706"/>
    <n v="1"/>
    <s v="Y"/>
    <s v="No"/>
    <n v="18"/>
    <n v="3"/>
    <n v="1"/>
    <n v="80"/>
    <n v="1"/>
    <n v="10"/>
    <n v="3"/>
    <n v="3"/>
    <n v="10"/>
    <n v="3"/>
    <n v="1"/>
    <n v="4"/>
    <x v="2"/>
    <x v="0"/>
  </r>
  <r>
    <n v="40"/>
    <s v="No"/>
    <s v="Travel_Frequently"/>
    <n v="902"/>
    <s v="Research &amp; Development"/>
    <n v="26"/>
    <n v="2"/>
    <s v="Medical"/>
    <n v="1"/>
    <n v="1180"/>
    <n v="3"/>
    <s v="Female"/>
    <n v="92"/>
    <n v="2"/>
    <x v="0"/>
    <s v="Research Scientist"/>
    <n v="4"/>
    <s v="Married"/>
    <x v="796"/>
    <n v="21203"/>
    <n v="3"/>
    <s v="Y"/>
    <s v="Yes"/>
    <n v="13"/>
    <n v="3"/>
    <n v="4"/>
    <n v="80"/>
    <n v="1"/>
    <n v="16"/>
    <n v="3"/>
    <n v="1"/>
    <n v="1"/>
    <n v="1"/>
    <n v="0"/>
    <n v="0"/>
    <x v="0"/>
    <x v="0"/>
  </r>
  <r>
    <n v="35"/>
    <s v="No"/>
    <s v="Travel_Rarely"/>
    <n v="819"/>
    <s v="Research &amp; Development"/>
    <n v="2"/>
    <n v="3"/>
    <s v="Life Sciences"/>
    <n v="1"/>
    <n v="1182"/>
    <n v="3"/>
    <s v="Male"/>
    <n v="44"/>
    <n v="2"/>
    <x v="2"/>
    <s v="Manufacturing Director"/>
    <n v="2"/>
    <s v="Divorced"/>
    <x v="797"/>
    <n v="19588"/>
    <n v="2"/>
    <s v="Y"/>
    <s v="No"/>
    <n v="18"/>
    <n v="3"/>
    <n v="2"/>
    <n v="80"/>
    <n v="1"/>
    <n v="15"/>
    <n v="2"/>
    <n v="4"/>
    <n v="7"/>
    <n v="7"/>
    <n v="6"/>
    <n v="4"/>
    <x v="2"/>
    <x v="2"/>
  </r>
  <r>
    <n v="34"/>
    <s v="No"/>
    <s v="Travel_Frequently"/>
    <n v="669"/>
    <s v="Research &amp; Development"/>
    <n v="1"/>
    <n v="3"/>
    <s v="Medical"/>
    <n v="1"/>
    <n v="1184"/>
    <n v="4"/>
    <s v="Male"/>
    <n v="97"/>
    <n v="2"/>
    <x v="0"/>
    <s v="Healthcare Representative"/>
    <n v="1"/>
    <s v="Single"/>
    <x v="798"/>
    <n v="25755"/>
    <n v="0"/>
    <s v="Y"/>
    <s v="No"/>
    <n v="20"/>
    <n v="4"/>
    <n v="3"/>
    <n v="80"/>
    <n v="0"/>
    <n v="14"/>
    <n v="3"/>
    <n v="3"/>
    <n v="13"/>
    <n v="9"/>
    <n v="4"/>
    <n v="9"/>
    <x v="2"/>
    <x v="0"/>
  </r>
  <r>
    <n v="35"/>
    <s v="No"/>
    <s v="Travel_Frequently"/>
    <n v="636"/>
    <s v="Research &amp; Development"/>
    <n v="4"/>
    <n v="4"/>
    <s v="Other"/>
    <n v="1"/>
    <n v="1185"/>
    <n v="4"/>
    <s v="Male"/>
    <n v="47"/>
    <n v="2"/>
    <x v="1"/>
    <s v="Laboratory Technician"/>
    <n v="4"/>
    <s v="Married"/>
    <x v="799"/>
    <n v="26537"/>
    <n v="1"/>
    <s v="Y"/>
    <s v="No"/>
    <n v="13"/>
    <n v="3"/>
    <n v="2"/>
    <n v="80"/>
    <n v="1"/>
    <n v="2"/>
    <n v="2"/>
    <n v="4"/>
    <n v="2"/>
    <n v="2"/>
    <n v="2"/>
    <n v="2"/>
    <x v="2"/>
    <x v="1"/>
  </r>
  <r>
    <n v="43"/>
    <s v="Yes"/>
    <s v="Travel_Rarely"/>
    <n v="1372"/>
    <s v="Sales"/>
    <n v="9"/>
    <n v="3"/>
    <s v="Marketing"/>
    <n v="1"/>
    <n v="1188"/>
    <n v="1"/>
    <s v="Female"/>
    <n v="85"/>
    <n v="1"/>
    <x v="0"/>
    <s v="Sales Executive"/>
    <n v="3"/>
    <s v="Single"/>
    <x v="800"/>
    <n v="9489"/>
    <n v="8"/>
    <s v="Y"/>
    <s v="No"/>
    <n v="13"/>
    <n v="3"/>
    <n v="2"/>
    <n v="80"/>
    <n v="0"/>
    <n v="7"/>
    <n v="2"/>
    <n v="2"/>
    <n v="4"/>
    <n v="3"/>
    <n v="1"/>
    <n v="3"/>
    <x v="0"/>
    <x v="0"/>
  </r>
  <r>
    <n v="32"/>
    <s v="No"/>
    <s v="Non-Travel"/>
    <n v="862"/>
    <s v="Sales"/>
    <n v="2"/>
    <n v="1"/>
    <s v="Life Sciences"/>
    <n v="1"/>
    <n v="1190"/>
    <n v="3"/>
    <s v="Female"/>
    <n v="76"/>
    <n v="3"/>
    <x v="1"/>
    <s v="Sales Representative"/>
    <n v="1"/>
    <s v="Divorced"/>
    <x v="801"/>
    <n v="14947"/>
    <n v="1"/>
    <s v="Y"/>
    <s v="No"/>
    <n v="12"/>
    <n v="3"/>
    <n v="3"/>
    <n v="80"/>
    <n v="3"/>
    <n v="1"/>
    <n v="3"/>
    <n v="3"/>
    <n v="1"/>
    <n v="0"/>
    <n v="0"/>
    <n v="0"/>
    <x v="2"/>
    <x v="1"/>
  </r>
  <r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x v="4"/>
    <s v="Manager"/>
    <n v="1"/>
    <s v="Divorced"/>
    <x v="802"/>
    <n v="18575"/>
    <n v="4"/>
    <s v="Y"/>
    <s v="No"/>
    <n v="13"/>
    <n v="3"/>
    <n v="4"/>
    <n v="80"/>
    <n v="1"/>
    <n v="28"/>
    <n v="2"/>
    <n v="3"/>
    <n v="5"/>
    <n v="2"/>
    <n v="4"/>
    <n v="2"/>
    <x v="3"/>
    <x v="3"/>
  </r>
  <r>
    <n v="29"/>
    <s v="No"/>
    <s v="Travel_Rarely"/>
    <n v="1401"/>
    <s v="Research &amp; Development"/>
    <n v="6"/>
    <n v="1"/>
    <s v="Medical"/>
    <n v="1"/>
    <n v="1192"/>
    <n v="2"/>
    <s v="Female"/>
    <n v="54"/>
    <n v="3"/>
    <x v="1"/>
    <s v="Laboratory Technician"/>
    <n v="4"/>
    <s v="Married"/>
    <x v="803"/>
    <n v="26342"/>
    <n v="1"/>
    <s v="Y"/>
    <s v="No"/>
    <n v="13"/>
    <n v="3"/>
    <n v="1"/>
    <n v="80"/>
    <n v="1"/>
    <n v="10"/>
    <n v="5"/>
    <n v="3"/>
    <n v="10"/>
    <n v="8"/>
    <n v="0"/>
    <n v="8"/>
    <x v="2"/>
    <x v="0"/>
  </r>
  <r>
    <n v="19"/>
    <s v="No"/>
    <s v="Travel_Rarely"/>
    <n v="645"/>
    <s v="Research &amp; Development"/>
    <n v="9"/>
    <n v="2"/>
    <s v="Life Sciences"/>
    <n v="1"/>
    <n v="1193"/>
    <n v="3"/>
    <s v="Male"/>
    <n v="54"/>
    <n v="3"/>
    <x v="1"/>
    <s v="Research Scientist"/>
    <n v="1"/>
    <s v="Single"/>
    <x v="804"/>
    <n v="7172"/>
    <n v="1"/>
    <s v="Y"/>
    <s v="No"/>
    <n v="25"/>
    <n v="4"/>
    <n v="3"/>
    <n v="80"/>
    <n v="0"/>
    <n v="1"/>
    <n v="4"/>
    <n v="3"/>
    <n v="1"/>
    <n v="1"/>
    <n v="0"/>
    <n v="0"/>
    <x v="4"/>
    <x v="1"/>
  </r>
  <r>
    <n v="45"/>
    <s v="No"/>
    <s v="Travel_Rarely"/>
    <n v="1457"/>
    <s v="Research &amp; Development"/>
    <n v="7"/>
    <n v="3"/>
    <s v="Medical"/>
    <n v="1"/>
    <n v="1195"/>
    <n v="1"/>
    <s v="Female"/>
    <n v="83"/>
    <n v="3"/>
    <x v="1"/>
    <s v="Research Scientist"/>
    <n v="3"/>
    <s v="Married"/>
    <x v="805"/>
    <n v="20100"/>
    <n v="4"/>
    <s v="Y"/>
    <s v="Yes"/>
    <n v="19"/>
    <n v="3"/>
    <n v="3"/>
    <n v="80"/>
    <n v="1"/>
    <n v="7"/>
    <n v="2"/>
    <n v="2"/>
    <n v="3"/>
    <n v="2"/>
    <n v="0"/>
    <n v="2"/>
    <x v="0"/>
    <x v="0"/>
  </r>
  <r>
    <n v="37"/>
    <s v="No"/>
    <s v="Travel_Rarely"/>
    <n v="977"/>
    <s v="Research &amp; Development"/>
    <n v="1"/>
    <n v="3"/>
    <s v="Life Sciences"/>
    <n v="1"/>
    <n v="1196"/>
    <n v="4"/>
    <s v="Female"/>
    <n v="56"/>
    <n v="2"/>
    <x v="0"/>
    <s v="Manufacturing Director"/>
    <n v="4"/>
    <s v="Married"/>
    <x v="806"/>
    <n v="9961"/>
    <n v="1"/>
    <s v="Y"/>
    <s v="No"/>
    <n v="13"/>
    <n v="3"/>
    <n v="2"/>
    <n v="80"/>
    <n v="1"/>
    <n v="14"/>
    <n v="2"/>
    <n v="2"/>
    <n v="14"/>
    <n v="8"/>
    <n v="3"/>
    <n v="11"/>
    <x v="0"/>
    <x v="0"/>
  </r>
  <r>
    <n v="20"/>
    <s v="No"/>
    <s v="Travel_Rarely"/>
    <n v="805"/>
    <s v="Research &amp; Development"/>
    <n v="3"/>
    <n v="3"/>
    <s v="Life Sciences"/>
    <n v="1"/>
    <n v="1198"/>
    <n v="1"/>
    <s v="Male"/>
    <n v="87"/>
    <n v="2"/>
    <x v="1"/>
    <s v="Laboratory Technician"/>
    <n v="3"/>
    <s v="Single"/>
    <x v="807"/>
    <n v="12828"/>
    <n v="1"/>
    <s v="Y"/>
    <s v="No"/>
    <n v="12"/>
    <n v="3"/>
    <n v="1"/>
    <n v="80"/>
    <n v="0"/>
    <n v="2"/>
    <n v="2"/>
    <n v="2"/>
    <n v="2"/>
    <n v="2"/>
    <n v="1"/>
    <n v="2"/>
    <x v="4"/>
    <x v="0"/>
  </r>
  <r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x v="1"/>
    <s v="Research Scientist"/>
    <n v="3"/>
    <s v="Single"/>
    <x v="808"/>
    <n v="10826"/>
    <n v="1"/>
    <s v="Y"/>
    <s v="Yes"/>
    <n v="11"/>
    <n v="3"/>
    <n v="3"/>
    <n v="80"/>
    <n v="0"/>
    <n v="6"/>
    <n v="4"/>
    <n v="3"/>
    <n v="6"/>
    <n v="4"/>
    <n v="0"/>
    <n v="2"/>
    <x v="0"/>
    <x v="1"/>
  </r>
  <r>
    <n v="53"/>
    <s v="No"/>
    <s v="Travel_Rarely"/>
    <n v="1223"/>
    <s v="Research &amp; Development"/>
    <n v="7"/>
    <n v="2"/>
    <s v="Medical"/>
    <n v="1"/>
    <n v="1201"/>
    <n v="4"/>
    <s v="Female"/>
    <n v="50"/>
    <n v="3"/>
    <x v="4"/>
    <s v="Manager"/>
    <n v="3"/>
    <s v="Divorced"/>
    <x v="809"/>
    <n v="18640"/>
    <n v="3"/>
    <s v="Y"/>
    <s v="No"/>
    <n v="18"/>
    <n v="3"/>
    <n v="2"/>
    <n v="80"/>
    <n v="1"/>
    <n v="26"/>
    <n v="6"/>
    <n v="3"/>
    <n v="7"/>
    <n v="7"/>
    <n v="4"/>
    <n v="7"/>
    <x v="1"/>
    <x v="3"/>
  </r>
  <r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x v="1"/>
    <s v="Research Scientist"/>
    <n v="4"/>
    <s v="Married"/>
    <x v="810"/>
    <n v="26933"/>
    <n v="0"/>
    <s v="Y"/>
    <s v="Yes"/>
    <n v="18"/>
    <n v="3"/>
    <n v="1"/>
    <n v="80"/>
    <n v="1"/>
    <n v="6"/>
    <n v="2"/>
    <n v="2"/>
    <n v="5"/>
    <n v="4"/>
    <n v="1"/>
    <n v="3"/>
    <x v="2"/>
    <x v="1"/>
  </r>
  <r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x v="1"/>
    <s v="Research Scientist"/>
    <n v="4"/>
    <s v="Married"/>
    <x v="811"/>
    <n v="4223"/>
    <n v="0"/>
    <s v="Y"/>
    <s v="Yes"/>
    <n v="11"/>
    <n v="3"/>
    <n v="2"/>
    <n v="80"/>
    <n v="1"/>
    <n v="1"/>
    <n v="5"/>
    <n v="3"/>
    <n v="0"/>
    <n v="0"/>
    <n v="0"/>
    <n v="0"/>
    <x v="4"/>
    <x v="1"/>
  </r>
  <r>
    <n v="46"/>
    <s v="No"/>
    <s v="Travel_Rarely"/>
    <n v="1402"/>
    <s v="Sales"/>
    <n v="2"/>
    <n v="3"/>
    <s v="Marketing"/>
    <n v="1"/>
    <n v="1204"/>
    <n v="3"/>
    <s v="Female"/>
    <n v="69"/>
    <n v="3"/>
    <x v="3"/>
    <s v="Manager"/>
    <n v="1"/>
    <s v="Married"/>
    <x v="812"/>
    <n v="24097"/>
    <n v="8"/>
    <s v="Y"/>
    <s v="No"/>
    <n v="23"/>
    <n v="4"/>
    <n v="1"/>
    <n v="80"/>
    <n v="0"/>
    <n v="28"/>
    <n v="2"/>
    <n v="3"/>
    <n v="26"/>
    <n v="15"/>
    <n v="15"/>
    <n v="9"/>
    <x v="1"/>
    <x v="3"/>
  </r>
  <r>
    <n v="44"/>
    <s v="No"/>
    <s v="Non-Travel"/>
    <n v="111"/>
    <s v="Research &amp; Development"/>
    <n v="17"/>
    <n v="3"/>
    <s v="Life Sciences"/>
    <n v="1"/>
    <n v="1206"/>
    <n v="4"/>
    <s v="Male"/>
    <n v="74"/>
    <n v="1"/>
    <x v="1"/>
    <s v="Research Scientist"/>
    <n v="3"/>
    <s v="Single"/>
    <x v="813"/>
    <n v="4279"/>
    <n v="2"/>
    <s v="Y"/>
    <s v="No"/>
    <n v="13"/>
    <n v="3"/>
    <n v="4"/>
    <n v="80"/>
    <n v="0"/>
    <n v="6"/>
    <n v="3"/>
    <n v="3"/>
    <n v="0"/>
    <n v="0"/>
    <n v="0"/>
    <n v="0"/>
    <x v="0"/>
    <x v="1"/>
  </r>
  <r>
    <n v="33"/>
    <s v="No"/>
    <s v="Travel_Rarely"/>
    <n v="147"/>
    <s v="Human Resources"/>
    <n v="2"/>
    <n v="3"/>
    <s v="Human Resources"/>
    <n v="1"/>
    <n v="1207"/>
    <n v="2"/>
    <s v="Male"/>
    <n v="99"/>
    <n v="3"/>
    <x v="1"/>
    <s v="Human Resources"/>
    <n v="3"/>
    <s v="Married"/>
    <x v="814"/>
    <n v="8429"/>
    <n v="1"/>
    <s v="Y"/>
    <s v="No"/>
    <n v="13"/>
    <n v="3"/>
    <n v="4"/>
    <n v="80"/>
    <n v="1"/>
    <n v="5"/>
    <n v="2"/>
    <n v="3"/>
    <n v="5"/>
    <n v="4"/>
    <n v="1"/>
    <n v="4"/>
    <x v="2"/>
    <x v="0"/>
  </r>
  <r>
    <n v="41"/>
    <s v="Yes"/>
    <s v="Non-Travel"/>
    <n v="906"/>
    <s v="Research &amp; Development"/>
    <n v="5"/>
    <n v="2"/>
    <s v="Life Sciences"/>
    <n v="1"/>
    <n v="1210"/>
    <n v="1"/>
    <s v="Male"/>
    <n v="95"/>
    <n v="2"/>
    <x v="1"/>
    <s v="Research Scientist"/>
    <n v="1"/>
    <s v="Divorced"/>
    <x v="815"/>
    <n v="20293"/>
    <n v="6"/>
    <s v="Y"/>
    <s v="No"/>
    <n v="17"/>
    <n v="3"/>
    <n v="1"/>
    <n v="80"/>
    <n v="1"/>
    <n v="5"/>
    <n v="2"/>
    <n v="1"/>
    <n v="1"/>
    <n v="0"/>
    <n v="0"/>
    <n v="0"/>
    <x v="0"/>
    <x v="1"/>
  </r>
  <r>
    <n v="30"/>
    <s v="No"/>
    <s v="Travel_Rarely"/>
    <n v="1329"/>
    <s v="Sales"/>
    <n v="29"/>
    <n v="4"/>
    <s v="Life Sciences"/>
    <n v="1"/>
    <n v="1211"/>
    <n v="3"/>
    <s v="Male"/>
    <n v="61"/>
    <n v="3"/>
    <x v="0"/>
    <s v="Sales Executive"/>
    <n v="1"/>
    <s v="Divorced"/>
    <x v="816"/>
    <n v="13192"/>
    <n v="8"/>
    <s v="Y"/>
    <s v="No"/>
    <n v="19"/>
    <n v="3"/>
    <n v="3"/>
    <n v="80"/>
    <n v="3"/>
    <n v="8"/>
    <n v="3"/>
    <n v="3"/>
    <n v="4"/>
    <n v="3"/>
    <n v="0"/>
    <n v="3"/>
    <x v="2"/>
    <x v="0"/>
  </r>
  <r>
    <n v="40"/>
    <s v="No"/>
    <s v="Travel_Frequently"/>
    <n v="1184"/>
    <s v="Sales"/>
    <n v="2"/>
    <n v="4"/>
    <s v="Medical"/>
    <n v="1"/>
    <n v="1212"/>
    <n v="2"/>
    <s v="Male"/>
    <n v="62"/>
    <n v="3"/>
    <x v="0"/>
    <s v="Sales Executive"/>
    <n v="2"/>
    <s v="Married"/>
    <x v="817"/>
    <n v="25440"/>
    <n v="5"/>
    <s v="Y"/>
    <s v="No"/>
    <n v="12"/>
    <n v="3"/>
    <n v="4"/>
    <n v="80"/>
    <n v="3"/>
    <n v="5"/>
    <n v="2"/>
    <n v="3"/>
    <n v="0"/>
    <n v="0"/>
    <n v="0"/>
    <n v="0"/>
    <x v="0"/>
    <x v="0"/>
  </r>
  <r>
    <n v="50"/>
    <s v="No"/>
    <s v="Travel_Frequently"/>
    <n v="1421"/>
    <s v="Research &amp; Development"/>
    <n v="2"/>
    <n v="3"/>
    <s v="Medical"/>
    <n v="1"/>
    <n v="1215"/>
    <n v="4"/>
    <s v="Female"/>
    <n v="30"/>
    <n v="3"/>
    <x v="3"/>
    <s v="Manager"/>
    <n v="1"/>
    <s v="Married"/>
    <x v="818"/>
    <n v="9490"/>
    <n v="2"/>
    <s v="Y"/>
    <s v="No"/>
    <n v="22"/>
    <n v="4"/>
    <n v="3"/>
    <n v="80"/>
    <n v="1"/>
    <n v="32"/>
    <n v="3"/>
    <n v="3"/>
    <n v="2"/>
    <n v="2"/>
    <n v="2"/>
    <n v="2"/>
    <x v="1"/>
    <x v="3"/>
  </r>
  <r>
    <n v="28"/>
    <s v="No"/>
    <s v="Travel_Rarely"/>
    <n v="1179"/>
    <s v="Research &amp; Development"/>
    <n v="19"/>
    <n v="4"/>
    <s v="Medical"/>
    <n v="1"/>
    <n v="1216"/>
    <n v="4"/>
    <s v="Male"/>
    <n v="78"/>
    <n v="2"/>
    <x v="1"/>
    <s v="Laboratory Technician"/>
    <n v="1"/>
    <s v="Married"/>
    <x v="819"/>
    <n v="12449"/>
    <n v="1"/>
    <s v="Y"/>
    <s v="No"/>
    <n v="12"/>
    <n v="3"/>
    <n v="3"/>
    <n v="80"/>
    <n v="3"/>
    <n v="6"/>
    <n v="2"/>
    <n v="3"/>
    <n v="6"/>
    <n v="5"/>
    <n v="3"/>
    <n v="3"/>
    <x v="2"/>
    <x v="0"/>
  </r>
  <r>
    <n v="46"/>
    <s v="No"/>
    <s v="Travel_Rarely"/>
    <n v="1450"/>
    <s v="Research &amp; Development"/>
    <n v="15"/>
    <n v="2"/>
    <s v="Life Sciences"/>
    <n v="1"/>
    <n v="1217"/>
    <n v="4"/>
    <s v="Male"/>
    <n v="52"/>
    <n v="3"/>
    <x v="4"/>
    <s v="Research Director"/>
    <n v="2"/>
    <s v="Married"/>
    <x v="820"/>
    <n v="10849"/>
    <n v="5"/>
    <s v="Y"/>
    <s v="No"/>
    <n v="11"/>
    <n v="3"/>
    <n v="1"/>
    <n v="80"/>
    <n v="1"/>
    <n v="25"/>
    <n v="2"/>
    <n v="3"/>
    <n v="4"/>
    <n v="2"/>
    <n v="0"/>
    <n v="3"/>
    <x v="1"/>
    <x v="3"/>
  </r>
  <r>
    <n v="35"/>
    <s v="No"/>
    <s v="Travel_Rarely"/>
    <n v="1361"/>
    <s v="Sales"/>
    <n v="17"/>
    <n v="4"/>
    <s v="Life Sciences"/>
    <n v="1"/>
    <n v="1218"/>
    <n v="3"/>
    <s v="Male"/>
    <n v="94"/>
    <n v="3"/>
    <x v="0"/>
    <s v="Sales Executive"/>
    <n v="1"/>
    <s v="Married"/>
    <x v="821"/>
    <n v="21026"/>
    <n v="3"/>
    <s v="Y"/>
    <s v="Yes"/>
    <n v="15"/>
    <n v="3"/>
    <n v="4"/>
    <n v="80"/>
    <n v="3"/>
    <n v="15"/>
    <n v="2"/>
    <n v="3"/>
    <n v="7"/>
    <n v="7"/>
    <n v="1"/>
    <n v="7"/>
    <x v="2"/>
    <x v="2"/>
  </r>
  <r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x v="1"/>
    <s v="Laboratory Technician"/>
    <n v="2"/>
    <s v="Married"/>
    <x v="822"/>
    <n v="3372"/>
    <n v="1"/>
    <s v="Y"/>
    <s v="No"/>
    <n v="13"/>
    <n v="3"/>
    <n v="1"/>
    <n v="80"/>
    <n v="1"/>
    <n v="1"/>
    <n v="3"/>
    <n v="1"/>
    <n v="1"/>
    <n v="0"/>
    <n v="0"/>
    <n v="0"/>
    <x v="4"/>
    <x v="1"/>
  </r>
  <r>
    <n v="33"/>
    <s v="No"/>
    <s v="Travel_Frequently"/>
    <n v="1146"/>
    <s v="Sales"/>
    <n v="25"/>
    <n v="3"/>
    <s v="Medical"/>
    <n v="1"/>
    <n v="1220"/>
    <n v="2"/>
    <s v="Female"/>
    <n v="82"/>
    <n v="3"/>
    <x v="0"/>
    <s v="Sales Executive"/>
    <n v="3"/>
    <s v="Married"/>
    <x v="823"/>
    <n v="4905"/>
    <n v="1"/>
    <s v="Y"/>
    <s v="No"/>
    <n v="12"/>
    <n v="3"/>
    <n v="1"/>
    <n v="80"/>
    <n v="1"/>
    <n v="10"/>
    <n v="3"/>
    <n v="2"/>
    <n v="10"/>
    <n v="7"/>
    <n v="0"/>
    <n v="1"/>
    <x v="2"/>
    <x v="0"/>
  </r>
  <r>
    <n v="36"/>
    <s v="No"/>
    <s v="Travel_Rarely"/>
    <n v="917"/>
    <s v="Research &amp; Development"/>
    <n v="6"/>
    <n v="4"/>
    <s v="Life Sciences"/>
    <n v="1"/>
    <n v="1221"/>
    <n v="3"/>
    <s v="Male"/>
    <n v="60"/>
    <n v="1"/>
    <x v="1"/>
    <s v="Laboratory Technician"/>
    <n v="3"/>
    <s v="Divorced"/>
    <x v="199"/>
    <n v="6865"/>
    <n v="1"/>
    <s v="Y"/>
    <s v="No"/>
    <n v="14"/>
    <n v="3"/>
    <n v="3"/>
    <n v="80"/>
    <n v="1"/>
    <n v="7"/>
    <n v="4"/>
    <n v="3"/>
    <n v="7"/>
    <n v="7"/>
    <n v="1"/>
    <n v="7"/>
    <x v="0"/>
    <x v="1"/>
  </r>
  <r>
    <n v="30"/>
    <s v="No"/>
    <s v="Travel_Rarely"/>
    <n v="853"/>
    <s v="Research &amp; Development"/>
    <n v="7"/>
    <n v="4"/>
    <s v="Life Sciences"/>
    <n v="1"/>
    <n v="1224"/>
    <n v="3"/>
    <s v="Male"/>
    <n v="49"/>
    <n v="3"/>
    <x v="0"/>
    <s v="Laboratory Technician"/>
    <n v="3"/>
    <s v="Divorced"/>
    <x v="824"/>
    <n v="11309"/>
    <n v="1"/>
    <s v="Y"/>
    <s v="No"/>
    <n v="13"/>
    <n v="3"/>
    <n v="1"/>
    <n v="80"/>
    <n v="3"/>
    <n v="10"/>
    <n v="4"/>
    <n v="2"/>
    <n v="10"/>
    <n v="7"/>
    <n v="8"/>
    <n v="9"/>
    <x v="2"/>
    <x v="0"/>
  </r>
  <r>
    <n v="44"/>
    <s v="No"/>
    <s v="Travel_Rarely"/>
    <n v="200"/>
    <s v="Research &amp; Development"/>
    <n v="29"/>
    <n v="4"/>
    <s v="Other"/>
    <n v="1"/>
    <n v="1225"/>
    <n v="4"/>
    <s v="Male"/>
    <n v="32"/>
    <n v="3"/>
    <x v="0"/>
    <s v="Research Scientist"/>
    <n v="4"/>
    <s v="Single"/>
    <x v="825"/>
    <n v="7744"/>
    <n v="1"/>
    <s v="Y"/>
    <s v="No"/>
    <n v="25"/>
    <n v="4"/>
    <n v="2"/>
    <n v="80"/>
    <n v="0"/>
    <n v="20"/>
    <n v="3"/>
    <n v="3"/>
    <n v="20"/>
    <n v="11"/>
    <n v="13"/>
    <n v="17"/>
    <x v="0"/>
    <x v="0"/>
  </r>
  <r>
    <n v="20"/>
    <s v="No"/>
    <s v="Travel_Rarely"/>
    <n v="654"/>
    <s v="Sales"/>
    <n v="21"/>
    <n v="3"/>
    <s v="Marketing"/>
    <n v="1"/>
    <n v="1226"/>
    <n v="3"/>
    <s v="Male"/>
    <n v="43"/>
    <n v="4"/>
    <x v="1"/>
    <s v="Sales Representative"/>
    <n v="4"/>
    <s v="Single"/>
    <x v="826"/>
    <n v="5050"/>
    <n v="1"/>
    <s v="Y"/>
    <s v="No"/>
    <n v="17"/>
    <n v="3"/>
    <n v="4"/>
    <n v="80"/>
    <n v="0"/>
    <n v="2"/>
    <n v="2"/>
    <n v="3"/>
    <n v="2"/>
    <n v="1"/>
    <n v="2"/>
    <n v="2"/>
    <x v="4"/>
    <x v="1"/>
  </r>
  <r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x v="0"/>
    <s v="Manufacturing Director"/>
    <n v="4"/>
    <s v="Divorced"/>
    <x v="827"/>
    <n v="17433"/>
    <n v="2"/>
    <s v="Y"/>
    <s v="No"/>
    <n v="11"/>
    <n v="3"/>
    <n v="3"/>
    <n v="80"/>
    <n v="1"/>
    <n v="12"/>
    <n v="3"/>
    <n v="2"/>
    <n v="6"/>
    <n v="3"/>
    <n v="1"/>
    <n v="4"/>
    <x v="1"/>
    <x v="2"/>
  </r>
  <r>
    <n v="42"/>
    <s v="No"/>
    <s v="Non-Travel"/>
    <n v="179"/>
    <s v="Human Resources"/>
    <n v="2"/>
    <n v="5"/>
    <s v="Medical"/>
    <n v="1"/>
    <n v="1231"/>
    <n v="4"/>
    <s v="Male"/>
    <n v="79"/>
    <n v="4"/>
    <x v="0"/>
    <s v="Human Resources"/>
    <n v="1"/>
    <s v="Married"/>
    <x v="458"/>
    <n v="12858"/>
    <n v="7"/>
    <s v="Y"/>
    <s v="No"/>
    <n v="16"/>
    <n v="3"/>
    <n v="1"/>
    <n v="80"/>
    <n v="1"/>
    <n v="10"/>
    <n v="3"/>
    <n v="4"/>
    <n v="4"/>
    <n v="3"/>
    <n v="0"/>
    <n v="3"/>
    <x v="0"/>
    <x v="0"/>
  </r>
  <r>
    <n v="60"/>
    <s v="No"/>
    <s v="Travel_Rarely"/>
    <n v="696"/>
    <s v="Sales"/>
    <n v="7"/>
    <n v="4"/>
    <s v="Marketing"/>
    <n v="1"/>
    <n v="1233"/>
    <n v="2"/>
    <s v="Male"/>
    <n v="52"/>
    <n v="4"/>
    <x v="0"/>
    <s v="Sales Executive"/>
    <n v="4"/>
    <s v="Divorced"/>
    <x v="828"/>
    <n v="10893"/>
    <n v="0"/>
    <s v="Y"/>
    <s v="Yes"/>
    <n v="18"/>
    <n v="3"/>
    <n v="2"/>
    <n v="80"/>
    <n v="1"/>
    <n v="12"/>
    <n v="3"/>
    <n v="3"/>
    <n v="11"/>
    <n v="7"/>
    <n v="1"/>
    <n v="9"/>
    <x v="3"/>
    <x v="0"/>
  </r>
  <r>
    <n v="32"/>
    <s v="No"/>
    <s v="Travel_Frequently"/>
    <n v="116"/>
    <s v="Research &amp; Development"/>
    <n v="13"/>
    <n v="3"/>
    <s v="Other"/>
    <n v="1"/>
    <n v="1234"/>
    <n v="3"/>
    <s v="Female"/>
    <n v="77"/>
    <n v="2"/>
    <x v="1"/>
    <s v="Laboratory Technician"/>
    <n v="2"/>
    <s v="Married"/>
    <x v="714"/>
    <n v="7331"/>
    <n v="1"/>
    <s v="Y"/>
    <s v="No"/>
    <n v="20"/>
    <n v="4"/>
    <n v="3"/>
    <n v="80"/>
    <n v="1"/>
    <n v="2"/>
    <n v="2"/>
    <n v="3"/>
    <n v="2"/>
    <n v="2"/>
    <n v="2"/>
    <n v="2"/>
    <x v="2"/>
    <x v="1"/>
  </r>
  <r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x v="0"/>
    <s v="Research Scientist"/>
    <n v="3"/>
    <s v="Single"/>
    <x v="829"/>
    <n v="2338"/>
    <n v="4"/>
    <s v="Y"/>
    <s v="Yes"/>
    <n v="14"/>
    <n v="3"/>
    <n v="4"/>
    <n v="80"/>
    <n v="0"/>
    <n v="10"/>
    <n v="2"/>
    <n v="3"/>
    <n v="8"/>
    <n v="7"/>
    <n v="0"/>
    <n v="7"/>
    <x v="2"/>
    <x v="0"/>
  </r>
  <r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x v="2"/>
    <s v="Manufacturing Director"/>
    <n v="1"/>
    <s v="Divorced"/>
    <x v="830"/>
    <n v="4235"/>
    <n v="2"/>
    <s v="Y"/>
    <s v="Yes"/>
    <n v="21"/>
    <n v="4"/>
    <n v="3"/>
    <n v="80"/>
    <n v="1"/>
    <n v="17"/>
    <n v="2"/>
    <n v="3"/>
    <n v="7"/>
    <n v="7"/>
    <n v="7"/>
    <n v="7"/>
    <x v="0"/>
    <x v="2"/>
  </r>
  <r>
    <n v="33"/>
    <s v="No"/>
    <s v="Travel_Rarely"/>
    <n v="117"/>
    <s v="Research &amp; Development"/>
    <n v="9"/>
    <n v="3"/>
    <s v="Medical"/>
    <n v="1"/>
    <n v="1238"/>
    <n v="1"/>
    <s v="Male"/>
    <n v="60"/>
    <n v="3"/>
    <x v="1"/>
    <s v="Research Scientist"/>
    <n v="4"/>
    <s v="Married"/>
    <x v="831"/>
    <n v="6311"/>
    <n v="0"/>
    <s v="Y"/>
    <s v="No"/>
    <n v="13"/>
    <n v="3"/>
    <n v="2"/>
    <n v="80"/>
    <n v="1"/>
    <n v="15"/>
    <n v="5"/>
    <n v="3"/>
    <n v="14"/>
    <n v="10"/>
    <n v="4"/>
    <n v="10"/>
    <x v="2"/>
    <x v="1"/>
  </r>
  <r>
    <n v="40"/>
    <s v="No"/>
    <s v="Travel_Rarely"/>
    <n v="107"/>
    <s v="Sales"/>
    <n v="10"/>
    <n v="3"/>
    <s v="Technical Degree"/>
    <n v="1"/>
    <n v="1239"/>
    <n v="2"/>
    <s v="Female"/>
    <n v="84"/>
    <n v="2"/>
    <x v="0"/>
    <s v="Sales Executive"/>
    <n v="2"/>
    <s v="Divorced"/>
    <x v="832"/>
    <n v="11591"/>
    <n v="7"/>
    <s v="Y"/>
    <s v="No"/>
    <n v="12"/>
    <n v="3"/>
    <n v="2"/>
    <n v="80"/>
    <n v="1"/>
    <n v="7"/>
    <n v="2"/>
    <n v="4"/>
    <n v="5"/>
    <n v="1"/>
    <n v="1"/>
    <n v="3"/>
    <x v="0"/>
    <x v="0"/>
  </r>
  <r>
    <n v="25"/>
    <s v="No"/>
    <s v="Travel_Rarely"/>
    <n v="1356"/>
    <s v="Sales"/>
    <n v="10"/>
    <n v="4"/>
    <s v="Life Sciences"/>
    <n v="1"/>
    <n v="1240"/>
    <n v="3"/>
    <s v="Male"/>
    <n v="57"/>
    <n v="3"/>
    <x v="0"/>
    <s v="Sales Executive"/>
    <n v="4"/>
    <s v="Single"/>
    <x v="833"/>
    <n v="20623"/>
    <n v="0"/>
    <s v="Y"/>
    <s v="No"/>
    <n v="14"/>
    <n v="3"/>
    <n v="2"/>
    <n v="80"/>
    <n v="0"/>
    <n v="5"/>
    <n v="4"/>
    <n v="3"/>
    <n v="4"/>
    <n v="3"/>
    <n v="1"/>
    <n v="1"/>
    <x v="4"/>
    <x v="0"/>
  </r>
  <r>
    <n v="30"/>
    <s v="No"/>
    <s v="Travel_Rarely"/>
    <n v="1465"/>
    <s v="Research &amp; Development"/>
    <n v="1"/>
    <n v="3"/>
    <s v="Medical"/>
    <n v="1"/>
    <n v="1241"/>
    <n v="4"/>
    <s v="Male"/>
    <n v="63"/>
    <n v="3"/>
    <x v="1"/>
    <s v="Research Scientist"/>
    <n v="2"/>
    <s v="Married"/>
    <x v="834"/>
    <n v="9369"/>
    <n v="0"/>
    <s v="Y"/>
    <s v="Yes"/>
    <n v="21"/>
    <n v="4"/>
    <n v="1"/>
    <n v="80"/>
    <n v="1"/>
    <n v="12"/>
    <n v="2"/>
    <n v="3"/>
    <n v="11"/>
    <n v="9"/>
    <n v="5"/>
    <n v="7"/>
    <x v="2"/>
    <x v="0"/>
  </r>
  <r>
    <n v="42"/>
    <s v="No"/>
    <s v="Travel_Frequently"/>
    <n v="458"/>
    <s v="Research &amp; Development"/>
    <n v="26"/>
    <n v="5"/>
    <s v="Medical"/>
    <n v="1"/>
    <n v="1242"/>
    <n v="1"/>
    <s v="Female"/>
    <n v="60"/>
    <n v="3"/>
    <x v="2"/>
    <s v="Research Director"/>
    <n v="1"/>
    <s v="Married"/>
    <x v="835"/>
    <n v="23281"/>
    <n v="3"/>
    <s v="Y"/>
    <s v="Yes"/>
    <n v="17"/>
    <n v="3"/>
    <n v="3"/>
    <n v="80"/>
    <n v="0"/>
    <n v="20"/>
    <n v="6"/>
    <n v="3"/>
    <n v="1"/>
    <n v="0"/>
    <n v="0"/>
    <n v="0"/>
    <x v="0"/>
    <x v="3"/>
  </r>
  <r>
    <n v="35"/>
    <s v="No"/>
    <s v="Non-Travel"/>
    <n v="1212"/>
    <s v="Sales"/>
    <n v="8"/>
    <n v="2"/>
    <s v="Marketing"/>
    <n v="1"/>
    <n v="1243"/>
    <n v="3"/>
    <s v="Female"/>
    <n v="78"/>
    <n v="2"/>
    <x v="2"/>
    <s v="Sales Executive"/>
    <n v="4"/>
    <s v="Married"/>
    <x v="836"/>
    <n v="13755"/>
    <n v="4"/>
    <s v="Y"/>
    <s v="Yes"/>
    <n v="11"/>
    <n v="3"/>
    <n v="2"/>
    <n v="80"/>
    <n v="1"/>
    <n v="16"/>
    <n v="6"/>
    <n v="2"/>
    <n v="13"/>
    <n v="2"/>
    <n v="4"/>
    <n v="12"/>
    <x v="2"/>
    <x v="2"/>
  </r>
  <r>
    <n v="27"/>
    <s v="No"/>
    <s v="Travel_Rarely"/>
    <n v="1103"/>
    <s v="Research &amp; Development"/>
    <n v="14"/>
    <n v="3"/>
    <s v="Life Sciences"/>
    <n v="1"/>
    <n v="1244"/>
    <n v="1"/>
    <s v="Male"/>
    <n v="42"/>
    <n v="3"/>
    <x v="1"/>
    <s v="Research Scientist"/>
    <n v="1"/>
    <s v="Married"/>
    <x v="837"/>
    <n v="14377"/>
    <n v="1"/>
    <s v="Y"/>
    <s v="Yes"/>
    <n v="14"/>
    <n v="3"/>
    <n v="4"/>
    <n v="80"/>
    <n v="2"/>
    <n v="9"/>
    <n v="3"/>
    <n v="2"/>
    <n v="9"/>
    <n v="7"/>
    <n v="6"/>
    <n v="8"/>
    <x v="2"/>
    <x v="1"/>
  </r>
  <r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x v="2"/>
    <s v="Manufacturing Director"/>
    <n v="3"/>
    <s v="Divorced"/>
    <x v="838"/>
    <n v="9659"/>
    <n v="7"/>
    <s v="Y"/>
    <s v="No"/>
    <n v="17"/>
    <n v="3"/>
    <n v="1"/>
    <n v="80"/>
    <n v="1"/>
    <n v="33"/>
    <n v="2"/>
    <n v="1"/>
    <n v="5"/>
    <n v="4"/>
    <n v="1"/>
    <n v="4"/>
    <x v="1"/>
    <x v="2"/>
  </r>
  <r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x v="1"/>
    <s v="Research Scientist"/>
    <n v="4"/>
    <s v="Married"/>
    <x v="839"/>
    <n v="19982"/>
    <n v="1"/>
    <s v="Y"/>
    <s v="No"/>
    <n v="13"/>
    <n v="3"/>
    <n v="4"/>
    <n v="80"/>
    <n v="1"/>
    <n v="10"/>
    <n v="5"/>
    <n v="3"/>
    <n v="10"/>
    <n v="5"/>
    <n v="7"/>
    <n v="7"/>
    <x v="0"/>
    <x v="1"/>
  </r>
  <r>
    <n v="19"/>
    <s v="Yes"/>
    <s v="Non-Travel"/>
    <n v="504"/>
    <s v="Research &amp; Development"/>
    <n v="10"/>
    <n v="3"/>
    <s v="Medical"/>
    <n v="1"/>
    <n v="1248"/>
    <n v="1"/>
    <s v="Female"/>
    <n v="96"/>
    <n v="2"/>
    <x v="1"/>
    <s v="Research Scientist"/>
    <n v="2"/>
    <s v="Single"/>
    <x v="840"/>
    <n v="6148"/>
    <n v="1"/>
    <s v="Y"/>
    <s v="Yes"/>
    <n v="25"/>
    <n v="4"/>
    <n v="2"/>
    <n v="80"/>
    <n v="0"/>
    <n v="1"/>
    <n v="2"/>
    <n v="4"/>
    <n v="1"/>
    <n v="1"/>
    <n v="0"/>
    <n v="0"/>
    <x v="4"/>
    <x v="1"/>
  </r>
  <r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x v="1"/>
    <s v="Research Scientist"/>
    <n v="4"/>
    <s v="Divorced"/>
    <x v="841"/>
    <n v="5598"/>
    <n v="1"/>
    <s v="Y"/>
    <s v="No"/>
    <n v="15"/>
    <n v="3"/>
    <n v="1"/>
    <n v="80"/>
    <n v="3"/>
    <n v="3"/>
    <n v="5"/>
    <n v="3"/>
    <n v="3"/>
    <n v="2"/>
    <n v="1"/>
    <n v="2"/>
    <x v="2"/>
    <x v="0"/>
  </r>
  <r>
    <n v="54"/>
    <s v="No"/>
    <s v="Travel_Rarely"/>
    <n v="685"/>
    <s v="Research &amp; Development"/>
    <n v="3"/>
    <n v="3"/>
    <s v="Life Sciences"/>
    <n v="1"/>
    <n v="1250"/>
    <n v="4"/>
    <s v="Male"/>
    <n v="85"/>
    <n v="3"/>
    <x v="3"/>
    <s v="Research Director"/>
    <n v="4"/>
    <s v="Married"/>
    <x v="842"/>
    <n v="23474"/>
    <n v="3"/>
    <s v="Y"/>
    <s v="No"/>
    <n v="14"/>
    <n v="3"/>
    <n v="1"/>
    <n v="80"/>
    <n v="0"/>
    <n v="36"/>
    <n v="2"/>
    <n v="3"/>
    <n v="10"/>
    <n v="9"/>
    <n v="0"/>
    <n v="9"/>
    <x v="1"/>
    <x v="3"/>
  </r>
  <r>
    <n v="31"/>
    <s v="No"/>
    <s v="Travel_Rarely"/>
    <n v="1332"/>
    <s v="Research &amp; Development"/>
    <n v="11"/>
    <n v="2"/>
    <s v="Medical"/>
    <n v="1"/>
    <n v="1251"/>
    <n v="3"/>
    <s v="Male"/>
    <n v="80"/>
    <n v="3"/>
    <x v="0"/>
    <s v="Healthcare Representative"/>
    <n v="1"/>
    <s v="Married"/>
    <x v="843"/>
    <n v="17089"/>
    <n v="1"/>
    <s v="Y"/>
    <s v="Yes"/>
    <n v="12"/>
    <n v="3"/>
    <n v="4"/>
    <n v="80"/>
    <n v="0"/>
    <n v="6"/>
    <n v="2"/>
    <n v="2"/>
    <n v="6"/>
    <n v="5"/>
    <n v="0"/>
    <n v="1"/>
    <x v="2"/>
    <x v="0"/>
  </r>
  <r>
    <n v="31"/>
    <s v="No"/>
    <s v="Travel_Rarely"/>
    <n v="1062"/>
    <s v="Research &amp; Development"/>
    <n v="24"/>
    <n v="3"/>
    <s v="Medical"/>
    <n v="1"/>
    <n v="1252"/>
    <n v="3"/>
    <s v="Female"/>
    <n v="96"/>
    <n v="2"/>
    <x v="0"/>
    <s v="Healthcare Representative"/>
    <n v="1"/>
    <s v="Single"/>
    <x v="844"/>
    <n v="17198"/>
    <n v="1"/>
    <s v="Y"/>
    <s v="No"/>
    <n v="19"/>
    <n v="3"/>
    <n v="2"/>
    <n v="80"/>
    <n v="0"/>
    <n v="10"/>
    <n v="2"/>
    <n v="3"/>
    <n v="10"/>
    <n v="9"/>
    <n v="1"/>
    <n v="8"/>
    <x v="2"/>
    <x v="0"/>
  </r>
  <r>
    <n v="59"/>
    <s v="No"/>
    <s v="Travel_Rarely"/>
    <n v="326"/>
    <s v="Sales"/>
    <n v="3"/>
    <n v="3"/>
    <s v="Life Sciences"/>
    <n v="1"/>
    <n v="1254"/>
    <n v="3"/>
    <s v="Female"/>
    <n v="48"/>
    <n v="2"/>
    <x v="0"/>
    <s v="Sales Executive"/>
    <n v="4"/>
    <s v="Single"/>
    <x v="845"/>
    <n v="16490"/>
    <n v="5"/>
    <s v="Y"/>
    <s v="No"/>
    <n v="17"/>
    <n v="3"/>
    <n v="4"/>
    <n v="80"/>
    <n v="0"/>
    <n v="13"/>
    <n v="2"/>
    <n v="3"/>
    <n v="6"/>
    <n v="1"/>
    <n v="0"/>
    <n v="5"/>
    <x v="3"/>
    <x v="0"/>
  </r>
  <r>
    <n v="43"/>
    <s v="No"/>
    <s v="Travel_Rarely"/>
    <n v="920"/>
    <s v="Research &amp; Development"/>
    <n v="3"/>
    <n v="3"/>
    <s v="Life Sciences"/>
    <n v="1"/>
    <n v="1255"/>
    <n v="3"/>
    <s v="Male"/>
    <n v="96"/>
    <n v="1"/>
    <x v="4"/>
    <s v="Research Director"/>
    <n v="4"/>
    <s v="Married"/>
    <x v="846"/>
    <n v="18625"/>
    <n v="3"/>
    <s v="Y"/>
    <s v="No"/>
    <n v="14"/>
    <n v="3"/>
    <n v="2"/>
    <n v="80"/>
    <n v="1"/>
    <n v="25"/>
    <n v="2"/>
    <n v="3"/>
    <n v="8"/>
    <n v="7"/>
    <n v="0"/>
    <n v="7"/>
    <x v="0"/>
    <x v="3"/>
  </r>
  <r>
    <n v="49"/>
    <s v="No"/>
    <s v="Travel_Rarely"/>
    <n v="1098"/>
    <s v="Research &amp; Development"/>
    <n v="4"/>
    <n v="2"/>
    <s v="Medical"/>
    <n v="1"/>
    <n v="1256"/>
    <n v="1"/>
    <s v="Male"/>
    <n v="85"/>
    <n v="2"/>
    <x v="4"/>
    <s v="Manager"/>
    <n v="3"/>
    <s v="Married"/>
    <x v="847"/>
    <n v="12124"/>
    <n v="2"/>
    <s v="Y"/>
    <s v="No"/>
    <n v="13"/>
    <n v="3"/>
    <n v="3"/>
    <n v="80"/>
    <n v="1"/>
    <n v="23"/>
    <n v="2"/>
    <n v="4"/>
    <n v="1"/>
    <n v="0"/>
    <n v="0"/>
    <n v="0"/>
    <x v="1"/>
    <x v="3"/>
  </r>
  <r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x v="1"/>
    <s v="Research Scientist"/>
    <n v="2"/>
    <s v="Married"/>
    <x v="848"/>
    <n v="9256"/>
    <n v="1"/>
    <s v="Y"/>
    <s v="No"/>
    <n v="12"/>
    <n v="3"/>
    <n v="3"/>
    <n v="80"/>
    <n v="0"/>
    <n v="12"/>
    <n v="2"/>
    <n v="2"/>
    <n v="11"/>
    <n v="10"/>
    <n v="0"/>
    <n v="7"/>
    <x v="0"/>
    <x v="0"/>
  </r>
  <r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x v="1"/>
    <s v="Laboratory Technician"/>
    <n v="2"/>
    <s v="Single"/>
    <x v="594"/>
    <n v="16620"/>
    <n v="5"/>
    <s v="Y"/>
    <s v="No"/>
    <n v="11"/>
    <n v="3"/>
    <n v="3"/>
    <n v="80"/>
    <n v="0"/>
    <n v="7"/>
    <n v="4"/>
    <n v="2"/>
    <n v="1"/>
    <n v="0"/>
    <n v="0"/>
    <n v="0"/>
    <x v="1"/>
    <x v="1"/>
  </r>
  <r>
    <n v="27"/>
    <s v="No"/>
    <s v="Travel_Rarely"/>
    <n v="1167"/>
    <s v="Research &amp; Development"/>
    <n v="4"/>
    <n v="2"/>
    <s v="Life Sciences"/>
    <n v="1"/>
    <n v="1259"/>
    <n v="1"/>
    <s v="Male"/>
    <n v="76"/>
    <n v="3"/>
    <x v="1"/>
    <s v="Research Scientist"/>
    <n v="3"/>
    <s v="Divorced"/>
    <x v="849"/>
    <n v="3208"/>
    <n v="1"/>
    <s v="Y"/>
    <s v="No"/>
    <n v="11"/>
    <n v="3"/>
    <n v="2"/>
    <n v="80"/>
    <n v="3"/>
    <n v="5"/>
    <n v="2"/>
    <n v="3"/>
    <n v="5"/>
    <n v="3"/>
    <n v="0"/>
    <n v="3"/>
    <x v="2"/>
    <x v="1"/>
  </r>
  <r>
    <n v="29"/>
    <s v="No"/>
    <s v="Travel_Rarely"/>
    <n v="1329"/>
    <s v="Research &amp; Development"/>
    <n v="7"/>
    <n v="3"/>
    <s v="Life Sciences"/>
    <n v="1"/>
    <n v="1260"/>
    <n v="3"/>
    <s v="Male"/>
    <n v="82"/>
    <n v="3"/>
    <x v="0"/>
    <s v="Healthcare Representative"/>
    <n v="4"/>
    <s v="Divorced"/>
    <x v="850"/>
    <n v="4204"/>
    <n v="1"/>
    <s v="Y"/>
    <s v="Yes"/>
    <n v="11"/>
    <n v="3"/>
    <n v="2"/>
    <n v="80"/>
    <n v="2"/>
    <n v="6"/>
    <n v="2"/>
    <n v="3"/>
    <n v="6"/>
    <n v="0"/>
    <n v="1"/>
    <n v="0"/>
    <x v="2"/>
    <x v="0"/>
  </r>
  <r>
    <n v="48"/>
    <s v="No"/>
    <s v="Travel_Rarely"/>
    <n v="715"/>
    <s v="Research &amp; Development"/>
    <n v="1"/>
    <n v="3"/>
    <s v="Life Sciences"/>
    <n v="1"/>
    <n v="1263"/>
    <n v="4"/>
    <s v="Male"/>
    <n v="76"/>
    <n v="2"/>
    <x v="4"/>
    <s v="Research Director"/>
    <n v="4"/>
    <s v="Single"/>
    <x v="851"/>
    <n v="8733"/>
    <n v="6"/>
    <s v="Y"/>
    <s v="No"/>
    <n v="12"/>
    <n v="3"/>
    <n v="3"/>
    <n v="80"/>
    <n v="0"/>
    <n v="25"/>
    <n v="3"/>
    <n v="4"/>
    <n v="1"/>
    <n v="0"/>
    <n v="0"/>
    <n v="0"/>
    <x v="1"/>
    <x v="3"/>
  </r>
  <r>
    <n v="29"/>
    <s v="No"/>
    <s v="Travel_Rarely"/>
    <n v="694"/>
    <s v="Research &amp; Development"/>
    <n v="1"/>
    <n v="3"/>
    <s v="Life Sciences"/>
    <n v="1"/>
    <n v="1264"/>
    <n v="4"/>
    <s v="Female"/>
    <n v="87"/>
    <n v="2"/>
    <x v="3"/>
    <s v="Research Director"/>
    <n v="4"/>
    <s v="Divorced"/>
    <x v="852"/>
    <n v="3423"/>
    <n v="3"/>
    <s v="Y"/>
    <s v="No"/>
    <n v="14"/>
    <n v="3"/>
    <n v="2"/>
    <n v="80"/>
    <n v="2"/>
    <n v="9"/>
    <n v="2"/>
    <n v="2"/>
    <n v="7"/>
    <n v="7"/>
    <n v="1"/>
    <n v="7"/>
    <x v="2"/>
    <x v="3"/>
  </r>
  <r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x v="1"/>
    <s v="Research Scientist"/>
    <n v="3"/>
    <s v="Married"/>
    <x v="853"/>
    <n v="21643"/>
    <n v="0"/>
    <s v="Y"/>
    <s v="No"/>
    <n v="17"/>
    <n v="3"/>
    <n v="4"/>
    <n v="80"/>
    <n v="0"/>
    <n v="2"/>
    <n v="5"/>
    <n v="2"/>
    <n v="1"/>
    <n v="0"/>
    <n v="0"/>
    <n v="0"/>
    <x v="2"/>
    <x v="1"/>
  </r>
  <r>
    <n v="44"/>
    <s v="No"/>
    <s v="Travel_Rarely"/>
    <n v="1099"/>
    <s v="Sales"/>
    <n v="5"/>
    <n v="3"/>
    <s v="Marketing"/>
    <n v="1"/>
    <n v="1267"/>
    <n v="2"/>
    <s v="Male"/>
    <n v="88"/>
    <n v="3"/>
    <x v="4"/>
    <s v="Manager"/>
    <n v="2"/>
    <s v="Married"/>
    <x v="854"/>
    <n v="8751"/>
    <n v="7"/>
    <s v="Y"/>
    <s v="No"/>
    <n v="11"/>
    <n v="3"/>
    <n v="3"/>
    <n v="80"/>
    <n v="1"/>
    <n v="26"/>
    <n v="5"/>
    <n v="3"/>
    <n v="22"/>
    <n v="9"/>
    <n v="3"/>
    <n v="10"/>
    <x v="0"/>
    <x v="3"/>
  </r>
  <r>
    <n v="33"/>
    <s v="No"/>
    <s v="Travel_Rarely"/>
    <n v="536"/>
    <s v="Sales"/>
    <n v="10"/>
    <n v="5"/>
    <s v="Marketing"/>
    <n v="1"/>
    <n v="1268"/>
    <n v="4"/>
    <s v="Male"/>
    <n v="82"/>
    <n v="4"/>
    <x v="2"/>
    <s v="Sales Executive"/>
    <n v="3"/>
    <s v="Divorced"/>
    <x v="855"/>
    <n v="21708"/>
    <n v="0"/>
    <s v="Y"/>
    <s v="Yes"/>
    <n v="14"/>
    <n v="3"/>
    <n v="4"/>
    <n v="80"/>
    <n v="2"/>
    <n v="10"/>
    <n v="3"/>
    <n v="3"/>
    <n v="9"/>
    <n v="8"/>
    <n v="0"/>
    <n v="8"/>
    <x v="2"/>
    <x v="2"/>
  </r>
  <r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x v="1"/>
    <s v="Research Scientist"/>
    <n v="4"/>
    <s v="Single"/>
    <x v="856"/>
    <n v="21221"/>
    <n v="1"/>
    <s v="Y"/>
    <s v="Yes"/>
    <n v="12"/>
    <n v="3"/>
    <n v="4"/>
    <n v="80"/>
    <n v="0"/>
    <n v="1"/>
    <n v="2"/>
    <n v="3"/>
    <n v="1"/>
    <n v="0"/>
    <n v="0"/>
    <n v="1"/>
    <x v="4"/>
    <x v="1"/>
  </r>
  <r>
    <n v="23"/>
    <s v="No"/>
    <s v="Travel_Rarely"/>
    <n v="373"/>
    <s v="Research &amp; Development"/>
    <n v="1"/>
    <n v="2"/>
    <s v="Life Sciences"/>
    <n v="1"/>
    <n v="1270"/>
    <n v="4"/>
    <s v="Male"/>
    <n v="47"/>
    <n v="3"/>
    <x v="1"/>
    <s v="Research Scientist"/>
    <n v="3"/>
    <s v="Married"/>
    <x v="857"/>
    <n v="16901"/>
    <n v="1"/>
    <s v="Y"/>
    <s v="No"/>
    <n v="22"/>
    <n v="4"/>
    <n v="4"/>
    <n v="80"/>
    <n v="1"/>
    <n v="1"/>
    <n v="2"/>
    <n v="3"/>
    <n v="1"/>
    <n v="0"/>
    <n v="0"/>
    <n v="1"/>
    <x v="4"/>
    <x v="1"/>
  </r>
  <r>
    <n v="25"/>
    <s v="Yes"/>
    <s v="Travel_Frequently"/>
    <n v="599"/>
    <s v="Sales"/>
    <n v="24"/>
    <n v="1"/>
    <s v="Life Sciences"/>
    <n v="1"/>
    <n v="1273"/>
    <n v="3"/>
    <s v="Male"/>
    <n v="73"/>
    <n v="1"/>
    <x v="1"/>
    <s v="Sales Representative"/>
    <n v="4"/>
    <s v="Single"/>
    <x v="858"/>
    <n v="8040"/>
    <n v="1"/>
    <s v="Y"/>
    <s v="Yes"/>
    <n v="14"/>
    <n v="3"/>
    <n v="4"/>
    <n v="80"/>
    <n v="0"/>
    <n v="1"/>
    <n v="4"/>
    <n v="3"/>
    <n v="1"/>
    <n v="0"/>
    <n v="1"/>
    <n v="0"/>
    <x v="4"/>
    <x v="1"/>
  </r>
  <r>
    <n v="26"/>
    <s v="No"/>
    <s v="Travel_Rarely"/>
    <n v="583"/>
    <s v="Research &amp; Development"/>
    <n v="4"/>
    <n v="2"/>
    <s v="Life Sciences"/>
    <n v="1"/>
    <n v="1275"/>
    <n v="3"/>
    <s v="Male"/>
    <n v="53"/>
    <n v="3"/>
    <x v="1"/>
    <s v="Research Scientist"/>
    <n v="4"/>
    <s v="Single"/>
    <x v="859"/>
    <n v="9973"/>
    <n v="1"/>
    <s v="Y"/>
    <s v="Yes"/>
    <n v="20"/>
    <n v="4"/>
    <n v="2"/>
    <n v="80"/>
    <n v="0"/>
    <n v="8"/>
    <n v="2"/>
    <n v="2"/>
    <n v="8"/>
    <n v="5"/>
    <n v="2"/>
    <n v="2"/>
    <x v="2"/>
    <x v="1"/>
  </r>
  <r>
    <n v="45"/>
    <s v="Yes"/>
    <s v="Travel_Rarely"/>
    <n v="1449"/>
    <s v="Sales"/>
    <n v="2"/>
    <n v="3"/>
    <s v="Marketing"/>
    <n v="1"/>
    <n v="1277"/>
    <n v="1"/>
    <s v="Female"/>
    <n v="94"/>
    <n v="1"/>
    <x v="4"/>
    <s v="Manager"/>
    <n v="2"/>
    <s v="Single"/>
    <x v="860"/>
    <n v="2493"/>
    <n v="2"/>
    <s v="Y"/>
    <s v="Yes"/>
    <n v="16"/>
    <n v="3"/>
    <n v="1"/>
    <n v="80"/>
    <n v="0"/>
    <n v="26"/>
    <n v="2"/>
    <n v="3"/>
    <n v="24"/>
    <n v="10"/>
    <n v="1"/>
    <n v="11"/>
    <x v="0"/>
    <x v="3"/>
  </r>
  <r>
    <n v="55"/>
    <s v="No"/>
    <s v="Non-Travel"/>
    <n v="177"/>
    <s v="Research &amp; Development"/>
    <n v="8"/>
    <n v="1"/>
    <s v="Medical"/>
    <n v="1"/>
    <n v="1278"/>
    <n v="4"/>
    <s v="Male"/>
    <n v="37"/>
    <n v="2"/>
    <x v="3"/>
    <s v="Healthcare Representative"/>
    <n v="2"/>
    <s v="Divorced"/>
    <x v="861"/>
    <n v="25592"/>
    <n v="1"/>
    <s v="Y"/>
    <s v="Yes"/>
    <n v="15"/>
    <n v="3"/>
    <n v="4"/>
    <n v="80"/>
    <n v="1"/>
    <n v="34"/>
    <n v="3"/>
    <n v="3"/>
    <n v="33"/>
    <n v="9"/>
    <n v="15"/>
    <n v="0"/>
    <x v="1"/>
    <x v="3"/>
  </r>
  <r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x v="1"/>
    <s v="Laboratory Technician"/>
    <n v="3"/>
    <s v="Single"/>
    <x v="862"/>
    <n v="25308"/>
    <n v="1"/>
    <s v="Y"/>
    <s v="No"/>
    <n v="20"/>
    <n v="4"/>
    <n v="3"/>
    <n v="80"/>
    <n v="0"/>
    <n v="2"/>
    <n v="2"/>
    <n v="1"/>
    <n v="2"/>
    <n v="2"/>
    <n v="2"/>
    <n v="2"/>
    <x v="4"/>
    <x v="1"/>
  </r>
  <r>
    <n v="46"/>
    <s v="No"/>
    <s v="Travel_Rarely"/>
    <n v="168"/>
    <s v="Sales"/>
    <n v="4"/>
    <n v="2"/>
    <s v="Marketing"/>
    <n v="1"/>
    <n v="1280"/>
    <n v="4"/>
    <s v="Female"/>
    <n v="33"/>
    <n v="2"/>
    <x v="4"/>
    <s v="Manager"/>
    <n v="2"/>
    <s v="Married"/>
    <x v="863"/>
    <n v="9946"/>
    <n v="2"/>
    <s v="Y"/>
    <s v="No"/>
    <n v="14"/>
    <n v="3"/>
    <n v="3"/>
    <n v="80"/>
    <n v="1"/>
    <n v="26"/>
    <n v="2"/>
    <n v="3"/>
    <n v="11"/>
    <n v="4"/>
    <n v="0"/>
    <n v="8"/>
    <x v="1"/>
    <x v="3"/>
  </r>
  <r>
    <n v="34"/>
    <s v="No"/>
    <s v="Travel_Rarely"/>
    <n v="131"/>
    <s v="Sales"/>
    <n v="2"/>
    <n v="3"/>
    <s v="Marketing"/>
    <n v="1"/>
    <n v="1281"/>
    <n v="3"/>
    <s v="Female"/>
    <n v="86"/>
    <n v="3"/>
    <x v="0"/>
    <s v="Sales Executive"/>
    <n v="1"/>
    <s v="Single"/>
    <x v="864"/>
    <n v="6039"/>
    <n v="0"/>
    <s v="Y"/>
    <s v="Yes"/>
    <n v="12"/>
    <n v="3"/>
    <n v="4"/>
    <n v="80"/>
    <n v="0"/>
    <n v="4"/>
    <n v="3"/>
    <n v="3"/>
    <n v="3"/>
    <n v="2"/>
    <n v="0"/>
    <n v="2"/>
    <x v="2"/>
    <x v="0"/>
  </r>
  <r>
    <n v="51"/>
    <s v="No"/>
    <s v="Travel_Frequently"/>
    <n v="237"/>
    <s v="Sales"/>
    <n v="9"/>
    <n v="3"/>
    <s v="Life Sciences"/>
    <n v="1"/>
    <n v="1282"/>
    <n v="4"/>
    <s v="Male"/>
    <n v="83"/>
    <n v="3"/>
    <x v="4"/>
    <s v="Manager"/>
    <n v="2"/>
    <s v="Divorced"/>
    <x v="865"/>
    <n v="19196"/>
    <n v="4"/>
    <s v="Y"/>
    <s v="Yes"/>
    <n v="24"/>
    <n v="4"/>
    <n v="1"/>
    <n v="80"/>
    <n v="1"/>
    <n v="31"/>
    <n v="5"/>
    <n v="2"/>
    <n v="29"/>
    <n v="10"/>
    <n v="11"/>
    <n v="10"/>
    <x v="1"/>
    <x v="3"/>
  </r>
  <r>
    <n v="59"/>
    <s v="No"/>
    <s v="Travel_Rarely"/>
    <n v="1429"/>
    <s v="Research &amp; Development"/>
    <n v="18"/>
    <n v="4"/>
    <s v="Medical"/>
    <n v="1"/>
    <n v="1283"/>
    <n v="4"/>
    <s v="Male"/>
    <n v="67"/>
    <n v="3"/>
    <x v="2"/>
    <s v="Manufacturing Director"/>
    <n v="4"/>
    <s v="Single"/>
    <x v="866"/>
    <n v="20002"/>
    <n v="6"/>
    <s v="Y"/>
    <s v="No"/>
    <n v="12"/>
    <n v="3"/>
    <n v="4"/>
    <n v="80"/>
    <n v="0"/>
    <n v="25"/>
    <n v="6"/>
    <n v="2"/>
    <n v="9"/>
    <n v="7"/>
    <n v="5"/>
    <n v="4"/>
    <x v="3"/>
    <x v="2"/>
  </r>
  <r>
    <n v="34"/>
    <s v="No"/>
    <s v="Travel_Frequently"/>
    <n v="135"/>
    <s v="Research &amp; Development"/>
    <n v="19"/>
    <n v="3"/>
    <s v="Medical"/>
    <n v="1"/>
    <n v="1285"/>
    <n v="3"/>
    <s v="Female"/>
    <n v="46"/>
    <n v="3"/>
    <x v="0"/>
    <s v="Laboratory Technician"/>
    <n v="2"/>
    <s v="Divorced"/>
    <x v="867"/>
    <n v="22534"/>
    <n v="4"/>
    <s v="Y"/>
    <s v="No"/>
    <n v="13"/>
    <n v="3"/>
    <n v="3"/>
    <n v="80"/>
    <n v="2"/>
    <n v="15"/>
    <n v="2"/>
    <n v="4"/>
    <n v="11"/>
    <n v="8"/>
    <n v="5"/>
    <n v="10"/>
    <x v="2"/>
    <x v="0"/>
  </r>
  <r>
    <n v="28"/>
    <s v="No"/>
    <s v="Travel_Frequently"/>
    <n v="791"/>
    <s v="Research &amp; Development"/>
    <n v="1"/>
    <n v="4"/>
    <s v="Medical"/>
    <n v="1"/>
    <n v="1286"/>
    <n v="4"/>
    <s v="Male"/>
    <n v="44"/>
    <n v="3"/>
    <x v="1"/>
    <s v="Laboratory Technician"/>
    <n v="3"/>
    <s v="Single"/>
    <x v="868"/>
    <n v="6842"/>
    <n v="0"/>
    <s v="Y"/>
    <s v="Yes"/>
    <n v="11"/>
    <n v="3"/>
    <n v="3"/>
    <n v="80"/>
    <n v="0"/>
    <n v="5"/>
    <n v="2"/>
    <n v="2"/>
    <n v="4"/>
    <n v="2"/>
    <n v="0"/>
    <n v="2"/>
    <x v="2"/>
    <x v="1"/>
  </r>
  <r>
    <n v="44"/>
    <s v="No"/>
    <s v="Travel_Rarely"/>
    <n v="1199"/>
    <s v="Research &amp; Development"/>
    <n v="4"/>
    <n v="2"/>
    <s v="Life Sciences"/>
    <n v="1"/>
    <n v="1288"/>
    <n v="3"/>
    <s v="Male"/>
    <n v="92"/>
    <n v="4"/>
    <x v="4"/>
    <s v="Manager"/>
    <n v="1"/>
    <s v="Divorced"/>
    <x v="869"/>
    <n v="17477"/>
    <n v="1"/>
    <s v="Y"/>
    <s v="No"/>
    <n v="14"/>
    <n v="3"/>
    <n v="4"/>
    <n v="80"/>
    <n v="2"/>
    <n v="26"/>
    <n v="4"/>
    <n v="2"/>
    <n v="25"/>
    <n v="9"/>
    <n v="14"/>
    <n v="13"/>
    <x v="0"/>
    <x v="3"/>
  </r>
  <r>
    <n v="34"/>
    <s v="No"/>
    <s v="Travel_Frequently"/>
    <n v="648"/>
    <s v="Human Resources"/>
    <n v="11"/>
    <n v="3"/>
    <s v="Life Sciences"/>
    <n v="1"/>
    <n v="1289"/>
    <n v="3"/>
    <s v="Male"/>
    <n v="56"/>
    <n v="2"/>
    <x v="0"/>
    <s v="Human Resources"/>
    <n v="2"/>
    <s v="Married"/>
    <x v="870"/>
    <n v="21833"/>
    <n v="4"/>
    <s v="Y"/>
    <s v="No"/>
    <n v="11"/>
    <n v="3"/>
    <n v="4"/>
    <n v="80"/>
    <n v="2"/>
    <n v="14"/>
    <n v="5"/>
    <n v="4"/>
    <n v="10"/>
    <n v="9"/>
    <n v="1"/>
    <n v="8"/>
    <x v="2"/>
    <x v="0"/>
  </r>
  <r>
    <n v="35"/>
    <s v="No"/>
    <s v="Travel_Rarely"/>
    <n v="735"/>
    <s v="Research &amp; Development"/>
    <n v="6"/>
    <n v="1"/>
    <s v="Life Sciences"/>
    <n v="1"/>
    <n v="1291"/>
    <n v="3"/>
    <s v="Male"/>
    <n v="66"/>
    <n v="3"/>
    <x v="1"/>
    <s v="Research Scientist"/>
    <n v="3"/>
    <s v="Married"/>
    <x v="871"/>
    <n v="6020"/>
    <n v="0"/>
    <s v="Y"/>
    <s v="Yes"/>
    <n v="14"/>
    <n v="3"/>
    <n v="4"/>
    <n v="80"/>
    <n v="0"/>
    <n v="4"/>
    <n v="3"/>
    <n v="3"/>
    <n v="3"/>
    <n v="2"/>
    <n v="2"/>
    <n v="2"/>
    <x v="2"/>
    <x v="0"/>
  </r>
  <r>
    <n v="42"/>
    <s v="No"/>
    <s v="Travel_Rarely"/>
    <n v="603"/>
    <s v="Research &amp; Development"/>
    <n v="7"/>
    <n v="4"/>
    <s v="Medical"/>
    <n v="1"/>
    <n v="1292"/>
    <n v="2"/>
    <s v="Female"/>
    <n v="78"/>
    <n v="4"/>
    <x v="0"/>
    <s v="Research Scientist"/>
    <n v="2"/>
    <s v="Married"/>
    <x v="872"/>
    <n v="5628"/>
    <n v="6"/>
    <s v="Y"/>
    <s v="Yes"/>
    <n v="16"/>
    <n v="3"/>
    <n v="4"/>
    <n v="80"/>
    <n v="0"/>
    <n v="18"/>
    <n v="2"/>
    <n v="3"/>
    <n v="1"/>
    <n v="0"/>
    <n v="0"/>
    <n v="0"/>
    <x v="0"/>
    <x v="1"/>
  </r>
  <r>
    <n v="43"/>
    <s v="No"/>
    <s v="Travel_Rarely"/>
    <n v="531"/>
    <s v="Sales"/>
    <n v="4"/>
    <n v="4"/>
    <s v="Marketing"/>
    <n v="1"/>
    <n v="1293"/>
    <n v="4"/>
    <s v="Female"/>
    <n v="56"/>
    <n v="2"/>
    <x v="2"/>
    <s v="Sales Executive"/>
    <n v="4"/>
    <s v="Single"/>
    <x v="873"/>
    <n v="20364"/>
    <n v="3"/>
    <s v="Y"/>
    <s v="No"/>
    <n v="14"/>
    <n v="3"/>
    <n v="4"/>
    <n v="80"/>
    <n v="0"/>
    <n v="23"/>
    <n v="3"/>
    <n v="4"/>
    <n v="21"/>
    <n v="7"/>
    <n v="15"/>
    <n v="17"/>
    <x v="0"/>
    <x v="2"/>
  </r>
  <r>
    <n v="36"/>
    <s v="No"/>
    <s v="Travel_Rarely"/>
    <n v="429"/>
    <s v="Research &amp; Development"/>
    <n v="2"/>
    <n v="4"/>
    <s v="Life Sciences"/>
    <n v="1"/>
    <n v="1294"/>
    <n v="3"/>
    <s v="Female"/>
    <n v="53"/>
    <n v="3"/>
    <x v="0"/>
    <s v="Manufacturing Director"/>
    <n v="2"/>
    <s v="Single"/>
    <x v="874"/>
    <n v="2323"/>
    <n v="9"/>
    <s v="Y"/>
    <s v="Yes"/>
    <n v="11"/>
    <n v="3"/>
    <n v="4"/>
    <n v="80"/>
    <n v="0"/>
    <n v="18"/>
    <n v="2"/>
    <n v="3"/>
    <n v="16"/>
    <n v="14"/>
    <n v="5"/>
    <n v="12"/>
    <x v="0"/>
    <x v="0"/>
  </r>
  <r>
    <n v="44"/>
    <s v="Yes"/>
    <s v="Travel_Rarely"/>
    <n v="621"/>
    <s v="Research &amp; Development"/>
    <n v="15"/>
    <n v="3"/>
    <s v="Medical"/>
    <n v="1"/>
    <n v="1295"/>
    <n v="1"/>
    <s v="Female"/>
    <n v="73"/>
    <n v="3"/>
    <x v="2"/>
    <s v="Healthcare Representative"/>
    <n v="4"/>
    <s v="Married"/>
    <x v="875"/>
    <n v="14075"/>
    <n v="1"/>
    <s v="Y"/>
    <s v="No"/>
    <n v="11"/>
    <n v="3"/>
    <n v="4"/>
    <n v="80"/>
    <n v="1"/>
    <n v="10"/>
    <n v="2"/>
    <n v="3"/>
    <n v="10"/>
    <n v="7"/>
    <n v="0"/>
    <n v="5"/>
    <x v="0"/>
    <x v="2"/>
  </r>
  <r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x v="1"/>
    <s v="Laboratory Technician"/>
    <n v="4"/>
    <s v="Married"/>
    <x v="876"/>
    <n v="14222"/>
    <n v="1"/>
    <s v="Y"/>
    <s v="Yes"/>
    <n v="12"/>
    <n v="3"/>
    <n v="2"/>
    <n v="80"/>
    <n v="1"/>
    <n v="2"/>
    <n v="2"/>
    <n v="3"/>
    <n v="2"/>
    <n v="2"/>
    <n v="2"/>
    <n v="2"/>
    <x v="2"/>
    <x v="0"/>
  </r>
  <r>
    <n v="51"/>
    <s v="No"/>
    <s v="Travel_Frequently"/>
    <n v="968"/>
    <s v="Research &amp; Development"/>
    <n v="6"/>
    <n v="2"/>
    <s v="Medical"/>
    <n v="1"/>
    <n v="1297"/>
    <n v="2"/>
    <s v="Female"/>
    <n v="40"/>
    <n v="2"/>
    <x v="1"/>
    <s v="Laboratory Technician"/>
    <n v="3"/>
    <s v="Single"/>
    <x v="877"/>
    <n v="4257"/>
    <n v="0"/>
    <s v="Y"/>
    <s v="No"/>
    <n v="14"/>
    <n v="3"/>
    <n v="2"/>
    <n v="80"/>
    <n v="0"/>
    <n v="8"/>
    <n v="6"/>
    <n v="2"/>
    <n v="7"/>
    <n v="0"/>
    <n v="7"/>
    <n v="7"/>
    <x v="1"/>
    <x v="1"/>
  </r>
  <r>
    <n v="30"/>
    <s v="No"/>
    <s v="Non-Travel"/>
    <n v="879"/>
    <s v="Research &amp; Development"/>
    <n v="9"/>
    <n v="2"/>
    <s v="Medical"/>
    <n v="1"/>
    <n v="1298"/>
    <n v="3"/>
    <s v="Female"/>
    <n v="72"/>
    <n v="3"/>
    <x v="0"/>
    <s v="Manufacturing Director"/>
    <n v="3"/>
    <s v="Single"/>
    <x v="878"/>
    <n v="12858"/>
    <n v="7"/>
    <s v="Y"/>
    <s v="Yes"/>
    <n v="18"/>
    <n v="3"/>
    <n v="3"/>
    <n v="80"/>
    <n v="0"/>
    <n v="10"/>
    <n v="3"/>
    <n v="3"/>
    <n v="8"/>
    <n v="4"/>
    <n v="1"/>
    <n v="7"/>
    <x v="2"/>
    <x v="0"/>
  </r>
  <r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x v="1"/>
    <s v="Laboratory Technician"/>
    <n v="3"/>
    <s v="Divorced"/>
    <x v="879"/>
    <n v="17285"/>
    <n v="3"/>
    <s v="Y"/>
    <s v="Yes"/>
    <n v="13"/>
    <n v="3"/>
    <n v="1"/>
    <n v="80"/>
    <n v="2"/>
    <n v="10"/>
    <n v="2"/>
    <n v="3"/>
    <n v="7"/>
    <n v="7"/>
    <n v="7"/>
    <n v="7"/>
    <x v="2"/>
    <x v="0"/>
  </r>
  <r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x v="1"/>
    <s v="Research Scientist"/>
    <n v="1"/>
    <s v="Single"/>
    <x v="880"/>
    <n v="4732"/>
    <n v="2"/>
    <s v="Y"/>
    <s v="No"/>
    <n v="11"/>
    <n v="3"/>
    <n v="2"/>
    <n v="80"/>
    <n v="0"/>
    <n v="5"/>
    <n v="2"/>
    <n v="2"/>
    <n v="3"/>
    <n v="2"/>
    <n v="1"/>
    <n v="2"/>
    <x v="2"/>
    <x v="1"/>
  </r>
  <r>
    <n v="25"/>
    <s v="No"/>
    <s v="Travel_Rarely"/>
    <n v="266"/>
    <s v="Research &amp; Development"/>
    <n v="1"/>
    <n v="3"/>
    <s v="Medical"/>
    <n v="1"/>
    <n v="1303"/>
    <n v="4"/>
    <s v="Female"/>
    <n v="40"/>
    <n v="3"/>
    <x v="1"/>
    <s v="Research Scientist"/>
    <n v="2"/>
    <s v="Single"/>
    <x v="461"/>
    <n v="18830"/>
    <n v="1"/>
    <s v="Y"/>
    <s v="No"/>
    <n v="18"/>
    <n v="3"/>
    <n v="4"/>
    <n v="80"/>
    <n v="0"/>
    <n v="2"/>
    <n v="3"/>
    <n v="2"/>
    <n v="2"/>
    <n v="2"/>
    <n v="2"/>
    <n v="1"/>
    <x v="4"/>
    <x v="1"/>
  </r>
  <r>
    <n v="32"/>
    <s v="No"/>
    <s v="Travel_Rarely"/>
    <n v="604"/>
    <s v="Sales"/>
    <n v="8"/>
    <n v="3"/>
    <s v="Medical"/>
    <n v="1"/>
    <n v="1304"/>
    <n v="3"/>
    <s v="Male"/>
    <n v="56"/>
    <n v="4"/>
    <x v="0"/>
    <s v="Sales Executive"/>
    <n v="4"/>
    <s v="Married"/>
    <x v="881"/>
    <n v="11693"/>
    <n v="1"/>
    <s v="Y"/>
    <s v="No"/>
    <n v="15"/>
    <n v="3"/>
    <n v="3"/>
    <n v="80"/>
    <n v="2"/>
    <n v="10"/>
    <n v="4"/>
    <n v="4"/>
    <n v="10"/>
    <n v="7"/>
    <n v="0"/>
    <n v="8"/>
    <x v="2"/>
    <x v="0"/>
  </r>
  <r>
    <n v="45"/>
    <s v="No"/>
    <s v="Travel_Frequently"/>
    <n v="364"/>
    <s v="Research &amp; Development"/>
    <n v="25"/>
    <n v="3"/>
    <s v="Medical"/>
    <n v="1"/>
    <n v="1306"/>
    <n v="2"/>
    <s v="Female"/>
    <n v="83"/>
    <n v="3"/>
    <x v="4"/>
    <s v="Manager"/>
    <n v="2"/>
    <s v="Single"/>
    <x v="882"/>
    <n v="13035"/>
    <n v="3"/>
    <s v="Y"/>
    <s v="No"/>
    <n v="22"/>
    <n v="4"/>
    <n v="3"/>
    <n v="80"/>
    <n v="0"/>
    <n v="22"/>
    <n v="4"/>
    <n v="3"/>
    <n v="0"/>
    <n v="0"/>
    <n v="0"/>
    <n v="0"/>
    <x v="0"/>
    <x v="3"/>
  </r>
  <r>
    <n v="39"/>
    <s v="No"/>
    <s v="Travel_Rarely"/>
    <n v="412"/>
    <s v="Research &amp; Development"/>
    <n v="13"/>
    <n v="4"/>
    <s v="Medical"/>
    <n v="1"/>
    <n v="1307"/>
    <n v="3"/>
    <s v="Female"/>
    <n v="94"/>
    <n v="2"/>
    <x v="3"/>
    <s v="Manager"/>
    <n v="2"/>
    <s v="Divorced"/>
    <x v="883"/>
    <n v="17334"/>
    <n v="6"/>
    <s v="Y"/>
    <s v="Yes"/>
    <n v="13"/>
    <n v="3"/>
    <n v="4"/>
    <n v="80"/>
    <n v="2"/>
    <n v="21"/>
    <n v="4"/>
    <n v="3"/>
    <n v="19"/>
    <n v="9"/>
    <n v="15"/>
    <n v="2"/>
    <x v="0"/>
    <x v="3"/>
  </r>
  <r>
    <n v="58"/>
    <s v="No"/>
    <s v="Travel_Rarely"/>
    <n v="848"/>
    <s v="Research &amp; Development"/>
    <n v="23"/>
    <n v="4"/>
    <s v="Life Sciences"/>
    <n v="1"/>
    <n v="1308"/>
    <n v="1"/>
    <s v="Male"/>
    <n v="88"/>
    <n v="3"/>
    <x v="1"/>
    <s v="Research Scientist"/>
    <n v="3"/>
    <s v="Divorced"/>
    <x v="872"/>
    <n v="26076"/>
    <n v="1"/>
    <s v="Y"/>
    <s v="No"/>
    <n v="12"/>
    <n v="3"/>
    <n v="4"/>
    <n v="80"/>
    <n v="2"/>
    <n v="2"/>
    <n v="3"/>
    <n v="3"/>
    <n v="2"/>
    <n v="2"/>
    <n v="2"/>
    <n v="2"/>
    <x v="3"/>
    <x v="1"/>
  </r>
  <r>
    <n v="32"/>
    <s v="Yes"/>
    <s v="Travel_Rarely"/>
    <n v="1089"/>
    <s v="Research &amp; Development"/>
    <n v="7"/>
    <n v="2"/>
    <s v="Life Sciences"/>
    <n v="1"/>
    <n v="1309"/>
    <n v="4"/>
    <s v="Male"/>
    <n v="79"/>
    <n v="3"/>
    <x v="0"/>
    <s v="Laboratory Technician"/>
    <n v="3"/>
    <s v="Married"/>
    <x v="884"/>
    <n v="22845"/>
    <n v="1"/>
    <s v="Y"/>
    <s v="No"/>
    <n v="18"/>
    <n v="3"/>
    <n v="1"/>
    <n v="80"/>
    <n v="1"/>
    <n v="10"/>
    <n v="3"/>
    <n v="3"/>
    <n v="10"/>
    <n v="4"/>
    <n v="1"/>
    <n v="1"/>
    <x v="2"/>
    <x v="0"/>
  </r>
  <r>
    <n v="39"/>
    <s v="Yes"/>
    <s v="Travel_Rarely"/>
    <n v="360"/>
    <s v="Research &amp; Development"/>
    <n v="23"/>
    <n v="3"/>
    <s v="Medical"/>
    <n v="1"/>
    <n v="1310"/>
    <n v="3"/>
    <s v="Male"/>
    <n v="93"/>
    <n v="3"/>
    <x v="1"/>
    <s v="Research Scientist"/>
    <n v="1"/>
    <s v="Single"/>
    <x v="885"/>
    <n v="22154"/>
    <n v="0"/>
    <s v="Y"/>
    <s v="No"/>
    <n v="13"/>
    <n v="3"/>
    <n v="1"/>
    <n v="80"/>
    <n v="0"/>
    <n v="6"/>
    <n v="2"/>
    <n v="3"/>
    <n v="5"/>
    <n v="2"/>
    <n v="0"/>
    <n v="3"/>
    <x v="0"/>
    <x v="0"/>
  </r>
  <r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x v="0"/>
    <s v="Laboratory Technician"/>
    <n v="4"/>
    <s v="Married"/>
    <x v="886"/>
    <n v="23631"/>
    <n v="0"/>
    <s v="Y"/>
    <s v="No"/>
    <n v="12"/>
    <n v="3"/>
    <n v="1"/>
    <n v="80"/>
    <n v="1"/>
    <n v="10"/>
    <n v="6"/>
    <n v="3"/>
    <n v="9"/>
    <n v="2"/>
    <n v="6"/>
    <n v="7"/>
    <x v="2"/>
    <x v="0"/>
  </r>
  <r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x v="2"/>
    <s v="Healthcare Representative"/>
    <n v="3"/>
    <s v="Married"/>
    <x v="887"/>
    <n v="5747"/>
    <n v="3"/>
    <s v="Y"/>
    <s v="No"/>
    <n v="12"/>
    <n v="3"/>
    <n v="1"/>
    <n v="80"/>
    <n v="0"/>
    <n v="10"/>
    <n v="0"/>
    <n v="3"/>
    <n v="7"/>
    <n v="7"/>
    <n v="1"/>
    <n v="7"/>
    <x v="0"/>
    <x v="2"/>
  </r>
  <r>
    <n v="46"/>
    <s v="No"/>
    <s v="Travel_Rarely"/>
    <n v="991"/>
    <s v="Human Resources"/>
    <n v="1"/>
    <n v="2"/>
    <s v="Life Sciences"/>
    <n v="1"/>
    <n v="1314"/>
    <n v="4"/>
    <s v="Female"/>
    <n v="44"/>
    <n v="3"/>
    <x v="1"/>
    <s v="Human Resources"/>
    <n v="1"/>
    <s v="Single"/>
    <x v="888"/>
    <n v="22957"/>
    <n v="6"/>
    <s v="Y"/>
    <s v="No"/>
    <n v="12"/>
    <n v="3"/>
    <n v="3"/>
    <n v="80"/>
    <n v="0"/>
    <n v="10"/>
    <n v="3"/>
    <n v="4"/>
    <n v="7"/>
    <n v="6"/>
    <n v="5"/>
    <n v="7"/>
    <x v="1"/>
    <x v="0"/>
  </r>
  <r>
    <n v="28"/>
    <s v="No"/>
    <s v="Non-Travel"/>
    <n v="1476"/>
    <s v="Research &amp; Development"/>
    <n v="1"/>
    <n v="3"/>
    <s v="Life Sciences"/>
    <n v="1"/>
    <n v="1315"/>
    <n v="3"/>
    <s v="Female"/>
    <n v="55"/>
    <n v="1"/>
    <x v="0"/>
    <s v="Laboratory Technician"/>
    <n v="4"/>
    <s v="Married"/>
    <x v="889"/>
    <n v="16392"/>
    <n v="0"/>
    <s v="Y"/>
    <s v="No"/>
    <n v="11"/>
    <n v="3"/>
    <n v="1"/>
    <n v="80"/>
    <n v="3"/>
    <n v="10"/>
    <n v="6"/>
    <n v="3"/>
    <n v="9"/>
    <n v="8"/>
    <n v="7"/>
    <n v="5"/>
    <x v="2"/>
    <x v="0"/>
  </r>
  <r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x v="3"/>
    <s v="Research Director"/>
    <n v="1"/>
    <s v="Married"/>
    <x v="890"/>
    <n v="22422"/>
    <n v="4"/>
    <s v="Y"/>
    <s v="Yes"/>
    <n v="11"/>
    <n v="3"/>
    <n v="2"/>
    <n v="80"/>
    <n v="0"/>
    <n v="25"/>
    <n v="2"/>
    <n v="3"/>
    <n v="3"/>
    <n v="2"/>
    <n v="1"/>
    <n v="2"/>
    <x v="1"/>
    <x v="3"/>
  </r>
  <r>
    <n v="40"/>
    <s v="Yes"/>
    <s v="Travel_Rarely"/>
    <n v="299"/>
    <s v="Sales"/>
    <n v="25"/>
    <n v="4"/>
    <s v="Marketing"/>
    <n v="1"/>
    <n v="1318"/>
    <n v="4"/>
    <s v="Male"/>
    <n v="57"/>
    <n v="2"/>
    <x v="2"/>
    <s v="Sales Executive"/>
    <n v="2"/>
    <s v="Single"/>
    <x v="891"/>
    <n v="17235"/>
    <n v="2"/>
    <s v="Y"/>
    <s v="Yes"/>
    <n v="12"/>
    <n v="3"/>
    <n v="3"/>
    <n v="80"/>
    <n v="0"/>
    <n v="9"/>
    <n v="2"/>
    <n v="3"/>
    <n v="5"/>
    <n v="4"/>
    <n v="1"/>
    <n v="0"/>
    <x v="0"/>
    <x v="2"/>
  </r>
  <r>
    <n v="52"/>
    <s v="Yes"/>
    <s v="Travel_Rarely"/>
    <n v="1030"/>
    <s v="Sales"/>
    <n v="5"/>
    <n v="3"/>
    <s v="Life Sciences"/>
    <n v="1"/>
    <n v="1319"/>
    <n v="2"/>
    <s v="Male"/>
    <n v="64"/>
    <n v="3"/>
    <x v="2"/>
    <s v="Sales Executive"/>
    <n v="2"/>
    <s v="Single"/>
    <x v="892"/>
    <n v="21534"/>
    <n v="9"/>
    <s v="Y"/>
    <s v="Yes"/>
    <n v="19"/>
    <n v="3"/>
    <n v="3"/>
    <n v="80"/>
    <n v="0"/>
    <n v="10"/>
    <n v="2"/>
    <n v="2"/>
    <n v="8"/>
    <n v="7"/>
    <n v="7"/>
    <n v="7"/>
    <x v="1"/>
    <x v="2"/>
  </r>
  <r>
    <n v="30"/>
    <s v="No"/>
    <s v="Travel_Rarely"/>
    <n v="634"/>
    <s v="Research &amp; Development"/>
    <n v="17"/>
    <n v="4"/>
    <s v="Medical"/>
    <n v="1"/>
    <n v="1321"/>
    <n v="2"/>
    <s v="Female"/>
    <n v="95"/>
    <n v="3"/>
    <x v="2"/>
    <s v="Manager"/>
    <n v="1"/>
    <s v="Married"/>
    <x v="893"/>
    <n v="25927"/>
    <n v="1"/>
    <s v="Y"/>
    <s v="Yes"/>
    <n v="23"/>
    <n v="4"/>
    <n v="4"/>
    <n v="80"/>
    <n v="2"/>
    <n v="9"/>
    <n v="2"/>
    <n v="3"/>
    <n v="9"/>
    <n v="1"/>
    <n v="0"/>
    <n v="8"/>
    <x v="2"/>
    <x v="2"/>
  </r>
  <r>
    <n v="39"/>
    <s v="No"/>
    <s v="Travel_Rarely"/>
    <n v="524"/>
    <s v="Research &amp; Development"/>
    <n v="18"/>
    <n v="2"/>
    <s v="Life Sciences"/>
    <n v="1"/>
    <n v="1322"/>
    <n v="1"/>
    <s v="Male"/>
    <n v="32"/>
    <n v="3"/>
    <x v="0"/>
    <s v="Manufacturing Director"/>
    <n v="3"/>
    <s v="Single"/>
    <x v="894"/>
    <n v="13352"/>
    <n v="0"/>
    <s v="Y"/>
    <s v="No"/>
    <n v="11"/>
    <n v="3"/>
    <n v="1"/>
    <n v="80"/>
    <n v="0"/>
    <n v="9"/>
    <n v="6"/>
    <n v="3"/>
    <n v="8"/>
    <n v="7"/>
    <n v="1"/>
    <n v="7"/>
    <x v="0"/>
    <x v="0"/>
  </r>
  <r>
    <n v="31"/>
    <s v="No"/>
    <s v="Non-Travel"/>
    <n v="587"/>
    <s v="Sales"/>
    <n v="2"/>
    <n v="4"/>
    <s v="Life Sciences"/>
    <n v="1"/>
    <n v="1324"/>
    <n v="4"/>
    <s v="Female"/>
    <n v="57"/>
    <n v="3"/>
    <x v="2"/>
    <s v="Sales Executive"/>
    <n v="3"/>
    <s v="Divorced"/>
    <x v="895"/>
    <n v="8935"/>
    <n v="1"/>
    <s v="Y"/>
    <s v="Yes"/>
    <n v="19"/>
    <n v="3"/>
    <n v="1"/>
    <n v="80"/>
    <n v="1"/>
    <n v="10"/>
    <n v="5"/>
    <n v="2"/>
    <n v="10"/>
    <n v="8"/>
    <n v="9"/>
    <n v="6"/>
    <x v="2"/>
    <x v="2"/>
  </r>
  <r>
    <n v="41"/>
    <s v="No"/>
    <s v="Non-Travel"/>
    <n v="256"/>
    <s v="Sales"/>
    <n v="10"/>
    <n v="2"/>
    <s v="Medical"/>
    <n v="1"/>
    <n v="1329"/>
    <n v="3"/>
    <s v="Male"/>
    <n v="40"/>
    <n v="1"/>
    <x v="0"/>
    <s v="Sales Executive"/>
    <n v="2"/>
    <s v="Single"/>
    <x v="896"/>
    <n v="22074"/>
    <n v="1"/>
    <s v="Y"/>
    <s v="No"/>
    <n v="13"/>
    <n v="3"/>
    <n v="1"/>
    <n v="80"/>
    <n v="0"/>
    <n v="19"/>
    <n v="4"/>
    <n v="3"/>
    <n v="19"/>
    <n v="2"/>
    <n v="11"/>
    <n v="9"/>
    <x v="0"/>
    <x v="0"/>
  </r>
  <r>
    <n v="31"/>
    <s v="Yes"/>
    <s v="Travel_Frequently"/>
    <n v="1060"/>
    <s v="Sales"/>
    <n v="1"/>
    <n v="3"/>
    <s v="Life Sciences"/>
    <n v="1"/>
    <n v="1331"/>
    <n v="4"/>
    <s v="Female"/>
    <n v="54"/>
    <n v="3"/>
    <x v="1"/>
    <s v="Sales Representative"/>
    <n v="2"/>
    <s v="Single"/>
    <x v="897"/>
    <n v="8319"/>
    <n v="1"/>
    <s v="Y"/>
    <s v="Yes"/>
    <n v="11"/>
    <n v="3"/>
    <n v="1"/>
    <n v="80"/>
    <n v="0"/>
    <n v="3"/>
    <n v="2"/>
    <n v="4"/>
    <n v="3"/>
    <n v="2"/>
    <n v="2"/>
    <n v="2"/>
    <x v="2"/>
    <x v="1"/>
  </r>
  <r>
    <n v="44"/>
    <s v="Yes"/>
    <s v="Travel_Rarely"/>
    <n v="935"/>
    <s v="Research &amp; Development"/>
    <n v="3"/>
    <n v="3"/>
    <s v="Life Sciences"/>
    <n v="1"/>
    <n v="1333"/>
    <n v="1"/>
    <s v="Male"/>
    <n v="89"/>
    <n v="3"/>
    <x v="1"/>
    <s v="Laboratory Technician"/>
    <n v="1"/>
    <s v="Married"/>
    <x v="898"/>
    <n v="14669"/>
    <n v="4"/>
    <s v="Y"/>
    <s v="No"/>
    <n v="12"/>
    <n v="3"/>
    <n v="3"/>
    <n v="80"/>
    <n v="0"/>
    <n v="10"/>
    <n v="4"/>
    <n v="4"/>
    <n v="3"/>
    <n v="2"/>
    <n v="1"/>
    <n v="2"/>
    <x v="0"/>
    <x v="1"/>
  </r>
  <r>
    <n v="42"/>
    <s v="No"/>
    <s v="Non-Travel"/>
    <n v="495"/>
    <s v="Research &amp; Development"/>
    <n v="2"/>
    <n v="1"/>
    <s v="Life Sciences"/>
    <n v="1"/>
    <n v="1334"/>
    <n v="3"/>
    <s v="Male"/>
    <n v="37"/>
    <n v="3"/>
    <x v="3"/>
    <s v="Manager"/>
    <n v="3"/>
    <s v="Married"/>
    <x v="417"/>
    <n v="26582"/>
    <n v="0"/>
    <s v="Y"/>
    <s v="Yes"/>
    <n v="13"/>
    <n v="3"/>
    <n v="4"/>
    <n v="80"/>
    <n v="0"/>
    <n v="21"/>
    <n v="3"/>
    <n v="2"/>
    <n v="20"/>
    <n v="8"/>
    <n v="2"/>
    <n v="10"/>
    <x v="0"/>
    <x v="3"/>
  </r>
  <r>
    <n v="55"/>
    <s v="No"/>
    <s v="Travel_Rarely"/>
    <n v="282"/>
    <s v="Research &amp; Development"/>
    <n v="2"/>
    <n v="2"/>
    <s v="Medical"/>
    <n v="1"/>
    <n v="1336"/>
    <n v="4"/>
    <s v="Female"/>
    <n v="58"/>
    <n v="1"/>
    <x v="4"/>
    <s v="Manager"/>
    <n v="3"/>
    <s v="Married"/>
    <x v="899"/>
    <n v="6992"/>
    <n v="4"/>
    <s v="Y"/>
    <s v="No"/>
    <n v="14"/>
    <n v="3"/>
    <n v="4"/>
    <n v="80"/>
    <n v="1"/>
    <n v="23"/>
    <n v="5"/>
    <n v="3"/>
    <n v="19"/>
    <n v="9"/>
    <n v="9"/>
    <n v="11"/>
    <x v="1"/>
    <x v="3"/>
  </r>
  <r>
    <n v="56"/>
    <s v="No"/>
    <s v="Travel_Rarely"/>
    <n v="206"/>
    <s v="Human Resources"/>
    <n v="8"/>
    <n v="4"/>
    <s v="Life Sciences"/>
    <n v="1"/>
    <n v="1338"/>
    <n v="4"/>
    <s v="Male"/>
    <n v="99"/>
    <n v="3"/>
    <x v="4"/>
    <s v="Manager"/>
    <n v="2"/>
    <s v="Single"/>
    <x v="900"/>
    <n v="4022"/>
    <n v="6"/>
    <s v="Y"/>
    <s v="No"/>
    <n v="14"/>
    <n v="3"/>
    <n v="1"/>
    <n v="80"/>
    <n v="0"/>
    <n v="36"/>
    <n v="4"/>
    <n v="3"/>
    <n v="7"/>
    <n v="3"/>
    <n v="7"/>
    <n v="7"/>
    <x v="3"/>
    <x v="3"/>
  </r>
  <r>
    <n v="40"/>
    <s v="No"/>
    <s v="Non-Travel"/>
    <n v="458"/>
    <s v="Research &amp; Development"/>
    <n v="16"/>
    <n v="2"/>
    <s v="Life Sciences"/>
    <n v="1"/>
    <n v="1340"/>
    <n v="3"/>
    <s v="Male"/>
    <n v="74"/>
    <n v="3"/>
    <x v="1"/>
    <s v="Research Scientist"/>
    <n v="3"/>
    <s v="Divorced"/>
    <x v="901"/>
    <n v="8532"/>
    <n v="9"/>
    <s v="Y"/>
    <s v="No"/>
    <n v="16"/>
    <n v="3"/>
    <n v="2"/>
    <n v="80"/>
    <n v="1"/>
    <n v="6"/>
    <n v="0"/>
    <n v="3"/>
    <n v="4"/>
    <n v="2"/>
    <n v="0"/>
    <n v="0"/>
    <x v="0"/>
    <x v="0"/>
  </r>
  <r>
    <n v="34"/>
    <s v="No"/>
    <s v="Travel_Rarely"/>
    <n v="943"/>
    <s v="Research &amp; Development"/>
    <n v="9"/>
    <n v="3"/>
    <s v="Life Sciences"/>
    <n v="1"/>
    <n v="1344"/>
    <n v="4"/>
    <s v="Male"/>
    <n v="86"/>
    <n v="3"/>
    <x v="2"/>
    <s v="Healthcare Representative"/>
    <n v="4"/>
    <s v="Divorced"/>
    <x v="902"/>
    <n v="5494"/>
    <n v="0"/>
    <s v="Y"/>
    <s v="No"/>
    <n v="11"/>
    <n v="3"/>
    <n v="4"/>
    <n v="80"/>
    <n v="1"/>
    <n v="10"/>
    <n v="0"/>
    <n v="2"/>
    <n v="9"/>
    <n v="7"/>
    <n v="1"/>
    <n v="6"/>
    <x v="2"/>
    <x v="2"/>
  </r>
  <r>
    <n v="40"/>
    <s v="No"/>
    <s v="Travel_Rarely"/>
    <n v="523"/>
    <s v="Research &amp; Development"/>
    <n v="2"/>
    <n v="3"/>
    <s v="Life Sciences"/>
    <n v="1"/>
    <n v="1346"/>
    <n v="3"/>
    <s v="Male"/>
    <n v="98"/>
    <n v="3"/>
    <x v="0"/>
    <s v="Research Scientist"/>
    <n v="4"/>
    <s v="Single"/>
    <x v="903"/>
    <n v="22455"/>
    <n v="1"/>
    <s v="Y"/>
    <s v="No"/>
    <n v="13"/>
    <n v="3"/>
    <n v="3"/>
    <n v="80"/>
    <n v="0"/>
    <n v="9"/>
    <n v="4"/>
    <n v="3"/>
    <n v="9"/>
    <n v="8"/>
    <n v="8"/>
    <n v="8"/>
    <x v="0"/>
    <x v="0"/>
  </r>
  <r>
    <n v="41"/>
    <s v="No"/>
    <s v="Travel_Frequently"/>
    <n v="1018"/>
    <s v="Sales"/>
    <n v="1"/>
    <n v="3"/>
    <s v="Marketing"/>
    <n v="1"/>
    <n v="1349"/>
    <n v="3"/>
    <s v="Female"/>
    <n v="66"/>
    <n v="3"/>
    <x v="0"/>
    <s v="Sales Executive"/>
    <n v="1"/>
    <s v="Divorced"/>
    <x v="904"/>
    <n v="4297"/>
    <n v="0"/>
    <s v="Y"/>
    <s v="No"/>
    <n v="17"/>
    <n v="3"/>
    <n v="4"/>
    <n v="80"/>
    <n v="1"/>
    <n v="10"/>
    <n v="2"/>
    <n v="3"/>
    <n v="9"/>
    <n v="3"/>
    <n v="1"/>
    <n v="7"/>
    <x v="0"/>
    <x v="0"/>
  </r>
  <r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x v="0"/>
    <s v="Research Scientist"/>
    <n v="3"/>
    <s v="Single"/>
    <x v="905"/>
    <n v="2690"/>
    <n v="1"/>
    <s v="Y"/>
    <s v="Yes"/>
    <n v="11"/>
    <n v="3"/>
    <n v="2"/>
    <n v="80"/>
    <n v="0"/>
    <n v="9"/>
    <n v="3"/>
    <n v="3"/>
    <n v="9"/>
    <n v="6"/>
    <n v="1"/>
    <n v="1"/>
    <x v="2"/>
    <x v="0"/>
  </r>
  <r>
    <n v="51"/>
    <s v="No"/>
    <s v="Travel_Rarely"/>
    <n v="770"/>
    <s v="Human Resources"/>
    <n v="5"/>
    <n v="3"/>
    <s v="Life Sciences"/>
    <n v="1"/>
    <n v="1352"/>
    <n v="3"/>
    <s v="Male"/>
    <n v="84"/>
    <n v="3"/>
    <x v="3"/>
    <s v="Manager"/>
    <n v="2"/>
    <s v="Divorced"/>
    <x v="906"/>
    <n v="17588"/>
    <n v="1"/>
    <s v="Y"/>
    <s v="Yes"/>
    <n v="11"/>
    <n v="3"/>
    <n v="2"/>
    <n v="80"/>
    <n v="1"/>
    <n v="33"/>
    <n v="2"/>
    <n v="3"/>
    <n v="33"/>
    <n v="9"/>
    <n v="0"/>
    <n v="10"/>
    <x v="1"/>
    <x v="3"/>
  </r>
  <r>
    <n v="38"/>
    <s v="No"/>
    <s v="Travel_Rarely"/>
    <n v="1009"/>
    <s v="Sales"/>
    <n v="2"/>
    <n v="2"/>
    <s v="Life Sciences"/>
    <n v="1"/>
    <n v="1355"/>
    <n v="2"/>
    <s v="Female"/>
    <n v="31"/>
    <n v="3"/>
    <x v="0"/>
    <s v="Sales Executive"/>
    <n v="1"/>
    <s v="Divorced"/>
    <x v="907"/>
    <n v="19461"/>
    <n v="3"/>
    <s v="Y"/>
    <s v="No"/>
    <n v="15"/>
    <n v="3"/>
    <n v="4"/>
    <n v="80"/>
    <n v="1"/>
    <n v="11"/>
    <n v="3"/>
    <n v="3"/>
    <n v="7"/>
    <n v="7"/>
    <n v="1"/>
    <n v="7"/>
    <x v="0"/>
    <x v="0"/>
  </r>
  <r>
    <n v="34"/>
    <s v="No"/>
    <s v="Travel_Rarely"/>
    <n v="507"/>
    <s v="Sales"/>
    <n v="15"/>
    <n v="2"/>
    <s v="Medical"/>
    <n v="1"/>
    <n v="1356"/>
    <n v="3"/>
    <s v="Female"/>
    <n v="66"/>
    <n v="3"/>
    <x v="0"/>
    <s v="Sales Executive"/>
    <n v="1"/>
    <s v="Single"/>
    <x v="908"/>
    <n v="23553"/>
    <n v="1"/>
    <s v="Y"/>
    <s v="No"/>
    <n v="12"/>
    <n v="3"/>
    <n v="4"/>
    <n v="80"/>
    <n v="0"/>
    <n v="10"/>
    <n v="6"/>
    <n v="4"/>
    <n v="10"/>
    <n v="8"/>
    <n v="9"/>
    <n v="6"/>
    <x v="2"/>
    <x v="0"/>
  </r>
  <r>
    <n v="25"/>
    <s v="No"/>
    <s v="Travel_Rarely"/>
    <n v="882"/>
    <s v="Research &amp; Development"/>
    <n v="19"/>
    <n v="1"/>
    <s v="Medical"/>
    <n v="1"/>
    <n v="1358"/>
    <n v="4"/>
    <s v="Male"/>
    <n v="67"/>
    <n v="3"/>
    <x v="1"/>
    <s v="Laboratory Technician"/>
    <n v="4"/>
    <s v="Married"/>
    <x v="909"/>
    <n v="9075"/>
    <n v="3"/>
    <s v="Y"/>
    <s v="No"/>
    <n v="11"/>
    <n v="3"/>
    <n v="3"/>
    <n v="80"/>
    <n v="3"/>
    <n v="7"/>
    <n v="6"/>
    <n v="2"/>
    <n v="3"/>
    <n v="2"/>
    <n v="1"/>
    <n v="2"/>
    <x v="4"/>
    <x v="0"/>
  </r>
  <r>
    <n v="58"/>
    <s v="Yes"/>
    <s v="Travel_Rarely"/>
    <n v="601"/>
    <s v="Research &amp; Development"/>
    <n v="7"/>
    <n v="4"/>
    <s v="Medical"/>
    <n v="1"/>
    <n v="1360"/>
    <n v="3"/>
    <s v="Female"/>
    <n v="53"/>
    <n v="2"/>
    <x v="2"/>
    <s v="Manufacturing Director"/>
    <n v="1"/>
    <s v="Married"/>
    <x v="910"/>
    <n v="12023"/>
    <n v="7"/>
    <s v="Y"/>
    <s v="Yes"/>
    <n v="14"/>
    <n v="3"/>
    <n v="4"/>
    <n v="80"/>
    <n v="0"/>
    <n v="31"/>
    <n v="0"/>
    <n v="2"/>
    <n v="10"/>
    <n v="9"/>
    <n v="5"/>
    <n v="9"/>
    <x v="3"/>
    <x v="2"/>
  </r>
  <r>
    <n v="40"/>
    <s v="No"/>
    <s v="Travel_Rarely"/>
    <n v="329"/>
    <s v="Research &amp; Development"/>
    <n v="1"/>
    <n v="4"/>
    <s v="Life Sciences"/>
    <n v="1"/>
    <n v="1361"/>
    <n v="2"/>
    <s v="Male"/>
    <n v="88"/>
    <n v="3"/>
    <x v="1"/>
    <s v="Laboratory Technician"/>
    <n v="2"/>
    <s v="Married"/>
    <x v="911"/>
    <n v="6762"/>
    <n v="3"/>
    <s v="Y"/>
    <s v="No"/>
    <n v="22"/>
    <n v="4"/>
    <n v="3"/>
    <n v="80"/>
    <n v="1"/>
    <n v="7"/>
    <n v="3"/>
    <n v="3"/>
    <n v="4"/>
    <n v="2"/>
    <n v="0"/>
    <n v="3"/>
    <x v="0"/>
    <x v="1"/>
  </r>
  <r>
    <n v="36"/>
    <s v="No"/>
    <s v="Travel_Frequently"/>
    <n v="607"/>
    <s v="Sales"/>
    <n v="7"/>
    <n v="3"/>
    <s v="Marketing"/>
    <n v="1"/>
    <n v="1362"/>
    <n v="1"/>
    <s v="Female"/>
    <n v="83"/>
    <n v="4"/>
    <x v="0"/>
    <s v="Sales Executive"/>
    <n v="1"/>
    <s v="Married"/>
    <x v="912"/>
    <n v="2261"/>
    <n v="2"/>
    <s v="Y"/>
    <s v="No"/>
    <n v="16"/>
    <n v="3"/>
    <n v="4"/>
    <n v="80"/>
    <n v="1"/>
    <n v="17"/>
    <n v="2"/>
    <n v="2"/>
    <n v="15"/>
    <n v="7"/>
    <n v="6"/>
    <n v="13"/>
    <x v="0"/>
    <x v="0"/>
  </r>
  <r>
    <n v="48"/>
    <s v="No"/>
    <s v="Travel_Rarely"/>
    <n v="855"/>
    <s v="Research &amp; Development"/>
    <n v="4"/>
    <n v="3"/>
    <s v="Life Sciences"/>
    <n v="1"/>
    <n v="1363"/>
    <n v="4"/>
    <s v="Male"/>
    <n v="54"/>
    <n v="3"/>
    <x v="2"/>
    <s v="Manufacturing Director"/>
    <n v="4"/>
    <s v="Single"/>
    <x v="913"/>
    <n v="18706"/>
    <n v="1"/>
    <s v="Y"/>
    <s v="No"/>
    <n v="11"/>
    <n v="3"/>
    <n v="3"/>
    <n v="80"/>
    <n v="0"/>
    <n v="11"/>
    <n v="2"/>
    <n v="3"/>
    <n v="10"/>
    <n v="9"/>
    <n v="0"/>
    <n v="8"/>
    <x v="1"/>
    <x v="2"/>
  </r>
  <r>
    <n v="27"/>
    <s v="No"/>
    <s v="Travel_Rarely"/>
    <n v="1291"/>
    <s v="Sales"/>
    <n v="11"/>
    <n v="3"/>
    <s v="Medical"/>
    <n v="1"/>
    <n v="1364"/>
    <n v="3"/>
    <s v="Female"/>
    <n v="98"/>
    <n v="4"/>
    <x v="1"/>
    <s v="Sales Representative"/>
    <n v="4"/>
    <s v="Married"/>
    <x v="914"/>
    <n v="6527"/>
    <n v="8"/>
    <s v="Y"/>
    <s v="No"/>
    <n v="14"/>
    <n v="3"/>
    <n v="2"/>
    <n v="80"/>
    <n v="1"/>
    <n v="5"/>
    <n v="4"/>
    <n v="3"/>
    <n v="1"/>
    <n v="0"/>
    <n v="0"/>
    <n v="0"/>
    <x v="2"/>
    <x v="1"/>
  </r>
  <r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x v="3"/>
    <s v="Manufacturing Director"/>
    <n v="2"/>
    <s v="Single"/>
    <x v="915"/>
    <n v="24439"/>
    <n v="3"/>
    <s v="Y"/>
    <s v="No"/>
    <n v="16"/>
    <n v="3"/>
    <n v="2"/>
    <n v="80"/>
    <n v="0"/>
    <n v="29"/>
    <n v="1"/>
    <n v="2"/>
    <n v="5"/>
    <n v="2"/>
    <n v="0"/>
    <n v="3"/>
    <x v="1"/>
    <x v="3"/>
  </r>
  <r>
    <n v="18"/>
    <s v="No"/>
    <s v="Non-Travel"/>
    <n v="1124"/>
    <s v="Research &amp; Development"/>
    <n v="1"/>
    <n v="3"/>
    <s v="Life Sciences"/>
    <n v="1"/>
    <n v="1368"/>
    <n v="4"/>
    <s v="Female"/>
    <n v="97"/>
    <n v="3"/>
    <x v="1"/>
    <s v="Laboratory Technician"/>
    <n v="4"/>
    <s v="Single"/>
    <x v="916"/>
    <n v="19305"/>
    <n v="1"/>
    <s v="Y"/>
    <s v="No"/>
    <n v="15"/>
    <n v="3"/>
    <n v="3"/>
    <n v="80"/>
    <n v="0"/>
    <n v="0"/>
    <n v="5"/>
    <n v="4"/>
    <n v="0"/>
    <n v="0"/>
    <n v="0"/>
    <n v="0"/>
    <x v="4"/>
    <x v="1"/>
  </r>
  <r>
    <n v="35"/>
    <s v="No"/>
    <s v="Travel_Rarely"/>
    <n v="817"/>
    <s v="Research &amp; Development"/>
    <n v="1"/>
    <n v="3"/>
    <s v="Medical"/>
    <n v="1"/>
    <n v="1369"/>
    <n v="4"/>
    <s v="Female"/>
    <n v="60"/>
    <n v="2"/>
    <x v="0"/>
    <s v="Laboratory Technician"/>
    <n v="4"/>
    <s v="Married"/>
    <x v="917"/>
    <n v="10846"/>
    <n v="0"/>
    <s v="Y"/>
    <s v="No"/>
    <n v="12"/>
    <n v="3"/>
    <n v="2"/>
    <n v="80"/>
    <n v="1"/>
    <n v="10"/>
    <n v="0"/>
    <n v="3"/>
    <n v="9"/>
    <n v="7"/>
    <n v="0"/>
    <n v="0"/>
    <x v="2"/>
    <x v="0"/>
  </r>
  <r>
    <n v="27"/>
    <s v="No"/>
    <s v="Travel_Frequently"/>
    <n v="793"/>
    <s v="Sales"/>
    <n v="2"/>
    <n v="1"/>
    <s v="Life Sciences"/>
    <n v="1"/>
    <n v="1371"/>
    <n v="4"/>
    <s v="Male"/>
    <n v="43"/>
    <n v="1"/>
    <x v="0"/>
    <s v="Sales Executive"/>
    <n v="4"/>
    <s v="Single"/>
    <x v="918"/>
    <n v="20392"/>
    <n v="3"/>
    <s v="Y"/>
    <s v="No"/>
    <n v="20"/>
    <n v="4"/>
    <n v="2"/>
    <n v="80"/>
    <n v="0"/>
    <n v="8"/>
    <n v="3"/>
    <n v="3"/>
    <n v="6"/>
    <n v="2"/>
    <n v="0"/>
    <n v="0"/>
    <x v="2"/>
    <x v="0"/>
  </r>
  <r>
    <n v="55"/>
    <s v="Yes"/>
    <s v="Travel_Rarely"/>
    <n v="267"/>
    <s v="Sales"/>
    <n v="13"/>
    <n v="4"/>
    <s v="Marketing"/>
    <n v="1"/>
    <n v="1372"/>
    <n v="1"/>
    <s v="Male"/>
    <n v="85"/>
    <n v="4"/>
    <x v="3"/>
    <s v="Sales Executive"/>
    <n v="3"/>
    <s v="Single"/>
    <x v="919"/>
    <n v="9277"/>
    <n v="6"/>
    <s v="Y"/>
    <s v="Yes"/>
    <n v="17"/>
    <n v="3"/>
    <n v="3"/>
    <n v="80"/>
    <n v="0"/>
    <n v="24"/>
    <n v="2"/>
    <n v="2"/>
    <n v="19"/>
    <n v="7"/>
    <n v="3"/>
    <n v="8"/>
    <x v="1"/>
    <x v="3"/>
  </r>
  <r>
    <n v="56"/>
    <s v="No"/>
    <s v="Travel_Rarely"/>
    <n v="1369"/>
    <s v="Research &amp; Development"/>
    <n v="23"/>
    <n v="3"/>
    <s v="Life Sciences"/>
    <n v="1"/>
    <n v="1373"/>
    <n v="4"/>
    <s v="Male"/>
    <n v="68"/>
    <n v="3"/>
    <x v="3"/>
    <s v="Manufacturing Director"/>
    <n v="2"/>
    <s v="Married"/>
    <x v="920"/>
    <n v="18235"/>
    <n v="4"/>
    <s v="Y"/>
    <s v="Yes"/>
    <n v="12"/>
    <n v="3"/>
    <n v="1"/>
    <n v="80"/>
    <n v="1"/>
    <n v="33"/>
    <n v="0"/>
    <n v="3"/>
    <n v="19"/>
    <n v="16"/>
    <n v="15"/>
    <n v="9"/>
    <x v="3"/>
    <x v="3"/>
  </r>
  <r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x v="1"/>
    <s v="Research Scientist"/>
    <n v="3"/>
    <s v="Divorced"/>
    <x v="921"/>
    <n v="15891"/>
    <n v="1"/>
    <s v="Y"/>
    <s v="No"/>
    <n v="20"/>
    <n v="4"/>
    <n v="3"/>
    <n v="80"/>
    <n v="3"/>
    <n v="5"/>
    <n v="2"/>
    <n v="3"/>
    <n v="5"/>
    <n v="4"/>
    <n v="0"/>
    <n v="0"/>
    <x v="2"/>
    <x v="1"/>
  </r>
  <r>
    <n v="40"/>
    <s v="No"/>
    <s v="Travel_Rarely"/>
    <n v="1202"/>
    <s v="Research &amp; Development"/>
    <n v="2"/>
    <n v="1"/>
    <s v="Medical"/>
    <n v="1"/>
    <n v="1375"/>
    <n v="2"/>
    <s v="Female"/>
    <n v="89"/>
    <n v="4"/>
    <x v="0"/>
    <s v="Healthcare Representative"/>
    <n v="3"/>
    <s v="Divorced"/>
    <x v="922"/>
    <n v="13888"/>
    <n v="5"/>
    <s v="Y"/>
    <s v="No"/>
    <n v="20"/>
    <n v="4"/>
    <n v="2"/>
    <n v="80"/>
    <n v="3"/>
    <n v="15"/>
    <n v="0"/>
    <n v="3"/>
    <n v="12"/>
    <n v="11"/>
    <n v="11"/>
    <n v="8"/>
    <x v="0"/>
    <x v="0"/>
  </r>
  <r>
    <n v="34"/>
    <s v="No"/>
    <s v="Travel_Rarely"/>
    <n v="285"/>
    <s v="Research &amp; Development"/>
    <n v="29"/>
    <n v="3"/>
    <s v="Medical"/>
    <n v="1"/>
    <n v="1377"/>
    <n v="2"/>
    <s v="Male"/>
    <n v="86"/>
    <n v="3"/>
    <x v="0"/>
    <s v="Laboratory Technician"/>
    <n v="3"/>
    <s v="Married"/>
    <x v="923"/>
    <n v="17491"/>
    <n v="4"/>
    <s v="Y"/>
    <s v="No"/>
    <n v="13"/>
    <n v="3"/>
    <n v="1"/>
    <n v="80"/>
    <n v="2"/>
    <n v="10"/>
    <n v="1"/>
    <n v="3"/>
    <n v="8"/>
    <n v="7"/>
    <n v="7"/>
    <n v="7"/>
    <x v="2"/>
    <x v="0"/>
  </r>
  <r>
    <n v="31"/>
    <s v="Yes"/>
    <s v="Travel_Frequently"/>
    <n v="703"/>
    <s v="Sales"/>
    <n v="2"/>
    <n v="3"/>
    <s v="Life Sciences"/>
    <n v="1"/>
    <n v="1379"/>
    <n v="3"/>
    <s v="Female"/>
    <n v="90"/>
    <n v="2"/>
    <x v="1"/>
    <s v="Sales Representative"/>
    <n v="4"/>
    <s v="Single"/>
    <x v="924"/>
    <n v="11882"/>
    <n v="7"/>
    <s v="Y"/>
    <s v="No"/>
    <n v="14"/>
    <n v="3"/>
    <n v="3"/>
    <n v="80"/>
    <n v="0"/>
    <n v="3"/>
    <n v="3"/>
    <n v="4"/>
    <n v="1"/>
    <n v="0"/>
    <n v="0"/>
    <n v="0"/>
    <x v="2"/>
    <x v="1"/>
  </r>
  <r>
    <n v="35"/>
    <s v="Yes"/>
    <s v="Travel_Frequently"/>
    <n v="662"/>
    <s v="Sales"/>
    <n v="18"/>
    <n v="4"/>
    <s v="Marketing"/>
    <n v="1"/>
    <n v="1380"/>
    <n v="4"/>
    <s v="Female"/>
    <n v="67"/>
    <n v="3"/>
    <x v="0"/>
    <s v="Sales Executive"/>
    <n v="3"/>
    <s v="Married"/>
    <x v="925"/>
    <n v="23288"/>
    <n v="0"/>
    <s v="Y"/>
    <s v="Yes"/>
    <n v="18"/>
    <n v="3"/>
    <n v="3"/>
    <n v="80"/>
    <n v="1"/>
    <n v="5"/>
    <n v="0"/>
    <n v="2"/>
    <n v="4"/>
    <n v="2"/>
    <n v="3"/>
    <n v="2"/>
    <x v="2"/>
    <x v="0"/>
  </r>
  <r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x v="1"/>
    <s v="Research Scientist"/>
    <n v="3"/>
    <s v="Divorced"/>
    <x v="353"/>
    <n v="15748"/>
    <n v="1"/>
    <s v="Y"/>
    <s v="No"/>
    <n v="11"/>
    <n v="3"/>
    <n v="4"/>
    <n v="80"/>
    <n v="3"/>
    <n v="4"/>
    <n v="2"/>
    <n v="3"/>
    <n v="4"/>
    <n v="2"/>
    <n v="0"/>
    <n v="3"/>
    <x v="0"/>
    <x v="1"/>
  </r>
  <r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x v="0"/>
    <s v="Healthcare Representative"/>
    <n v="4"/>
    <s v="Single"/>
    <x v="926"/>
    <n v="6163"/>
    <n v="1"/>
    <s v="Y"/>
    <s v="No"/>
    <n v="11"/>
    <n v="3"/>
    <n v="4"/>
    <n v="80"/>
    <n v="0"/>
    <n v="14"/>
    <n v="2"/>
    <n v="4"/>
    <n v="14"/>
    <n v="11"/>
    <n v="4"/>
    <n v="11"/>
    <x v="2"/>
    <x v="0"/>
  </r>
  <r>
    <n v="28"/>
    <s v="No"/>
    <s v="Travel_Rarely"/>
    <n v="736"/>
    <s v="Sales"/>
    <n v="26"/>
    <n v="3"/>
    <s v="Life Sciences"/>
    <n v="1"/>
    <n v="1387"/>
    <n v="3"/>
    <s v="Male"/>
    <n v="48"/>
    <n v="2"/>
    <x v="0"/>
    <s v="Sales Executive"/>
    <n v="1"/>
    <s v="Married"/>
    <x v="927"/>
    <n v="24232"/>
    <n v="1"/>
    <s v="Y"/>
    <s v="No"/>
    <n v="11"/>
    <n v="3"/>
    <n v="3"/>
    <n v="80"/>
    <n v="1"/>
    <n v="5"/>
    <n v="0"/>
    <n v="3"/>
    <n v="5"/>
    <n v="3"/>
    <n v="0"/>
    <n v="4"/>
    <x v="2"/>
    <x v="0"/>
  </r>
  <r>
    <n v="31"/>
    <s v="Yes"/>
    <s v="Travel_Rarely"/>
    <n v="330"/>
    <s v="Research &amp; Development"/>
    <n v="22"/>
    <n v="4"/>
    <s v="Medical"/>
    <n v="1"/>
    <n v="1389"/>
    <n v="4"/>
    <s v="Male"/>
    <n v="98"/>
    <n v="3"/>
    <x v="0"/>
    <s v="Manufacturing Director"/>
    <n v="3"/>
    <s v="Married"/>
    <x v="928"/>
    <n v="21057"/>
    <n v="1"/>
    <s v="Y"/>
    <s v="Yes"/>
    <n v="15"/>
    <n v="3"/>
    <n v="4"/>
    <n v="80"/>
    <n v="2"/>
    <n v="10"/>
    <n v="3"/>
    <n v="2"/>
    <n v="10"/>
    <n v="2"/>
    <n v="6"/>
    <n v="7"/>
    <x v="2"/>
    <x v="0"/>
  </r>
  <r>
    <n v="39"/>
    <s v="No"/>
    <s v="Travel_Rarely"/>
    <n v="1498"/>
    <s v="Sales"/>
    <n v="21"/>
    <n v="4"/>
    <s v="Life Sciences"/>
    <n v="1"/>
    <n v="1390"/>
    <n v="1"/>
    <s v="Male"/>
    <n v="44"/>
    <n v="2"/>
    <x v="0"/>
    <s v="Sales Executive"/>
    <n v="4"/>
    <s v="Married"/>
    <x v="929"/>
    <n v="3567"/>
    <n v="3"/>
    <s v="Y"/>
    <s v="Yes"/>
    <n v="12"/>
    <n v="3"/>
    <n v="4"/>
    <n v="80"/>
    <n v="2"/>
    <n v="8"/>
    <n v="2"/>
    <n v="4"/>
    <n v="5"/>
    <n v="4"/>
    <n v="1"/>
    <n v="4"/>
    <x v="0"/>
    <x v="0"/>
  </r>
  <r>
    <n v="51"/>
    <s v="No"/>
    <s v="Travel_Frequently"/>
    <n v="541"/>
    <s v="Sales"/>
    <n v="2"/>
    <n v="3"/>
    <s v="Marketing"/>
    <n v="1"/>
    <n v="1391"/>
    <n v="2"/>
    <s v="Male"/>
    <n v="52"/>
    <n v="3"/>
    <x v="2"/>
    <s v="Sales Executive"/>
    <n v="2"/>
    <s v="Married"/>
    <x v="930"/>
    <n v="15395"/>
    <n v="2"/>
    <s v="Y"/>
    <s v="No"/>
    <n v="11"/>
    <n v="3"/>
    <n v="2"/>
    <n v="80"/>
    <n v="0"/>
    <n v="14"/>
    <n v="5"/>
    <n v="3"/>
    <n v="4"/>
    <n v="2"/>
    <n v="3"/>
    <n v="2"/>
    <x v="1"/>
    <x v="2"/>
  </r>
  <r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x v="0"/>
    <s v="Research Scientist"/>
    <n v="4"/>
    <s v="Divorced"/>
    <x v="931"/>
    <n v="13953"/>
    <n v="3"/>
    <s v="Y"/>
    <s v="Yes"/>
    <n v="14"/>
    <n v="3"/>
    <n v="1"/>
    <n v="80"/>
    <n v="2"/>
    <n v="12"/>
    <n v="4"/>
    <n v="2"/>
    <n v="6"/>
    <n v="2"/>
    <n v="3"/>
    <n v="3"/>
    <x v="0"/>
    <x v="0"/>
  </r>
  <r>
    <n v="37"/>
    <s v="No"/>
    <s v="Travel_Rarely"/>
    <n v="1439"/>
    <s v="Research &amp; Development"/>
    <n v="4"/>
    <n v="1"/>
    <s v="Life Sciences"/>
    <n v="1"/>
    <n v="1394"/>
    <n v="3"/>
    <s v="Male"/>
    <n v="54"/>
    <n v="3"/>
    <x v="1"/>
    <s v="Research Scientist"/>
    <n v="3"/>
    <s v="Married"/>
    <x v="932"/>
    <n v="5182"/>
    <n v="7"/>
    <s v="Y"/>
    <s v="Yes"/>
    <n v="15"/>
    <n v="3"/>
    <n v="4"/>
    <n v="80"/>
    <n v="0"/>
    <n v="8"/>
    <n v="2"/>
    <n v="3"/>
    <n v="6"/>
    <n v="4"/>
    <n v="1"/>
    <n v="3"/>
    <x v="0"/>
    <x v="1"/>
  </r>
  <r>
    <n v="33"/>
    <s v="No"/>
    <s v="Travel_Frequently"/>
    <n v="1111"/>
    <s v="Sales"/>
    <n v="5"/>
    <n v="1"/>
    <s v="Life Sciences"/>
    <n v="1"/>
    <n v="1395"/>
    <n v="2"/>
    <s v="Male"/>
    <n v="61"/>
    <n v="3"/>
    <x v="0"/>
    <s v="Sales Executive"/>
    <n v="4"/>
    <s v="Married"/>
    <x v="933"/>
    <n v="19293"/>
    <n v="6"/>
    <s v="Y"/>
    <s v="No"/>
    <n v="13"/>
    <n v="3"/>
    <n v="1"/>
    <n v="80"/>
    <n v="0"/>
    <n v="8"/>
    <n v="2"/>
    <n v="4"/>
    <n v="5"/>
    <n v="4"/>
    <n v="1"/>
    <n v="2"/>
    <x v="2"/>
    <x v="2"/>
  </r>
  <r>
    <n v="32"/>
    <s v="No"/>
    <s v="Travel_Rarely"/>
    <n v="499"/>
    <s v="Sales"/>
    <n v="2"/>
    <n v="1"/>
    <s v="Marketing"/>
    <n v="1"/>
    <n v="1396"/>
    <n v="3"/>
    <s v="Male"/>
    <n v="36"/>
    <n v="3"/>
    <x v="0"/>
    <s v="Sales Executive"/>
    <n v="2"/>
    <s v="Married"/>
    <x v="934"/>
    <n v="20497"/>
    <n v="0"/>
    <s v="Y"/>
    <s v="Yes"/>
    <n v="13"/>
    <n v="3"/>
    <n v="1"/>
    <n v="80"/>
    <n v="3"/>
    <n v="4"/>
    <n v="3"/>
    <n v="2"/>
    <n v="3"/>
    <n v="2"/>
    <n v="1"/>
    <n v="2"/>
    <x v="2"/>
    <x v="0"/>
  </r>
  <r>
    <n v="39"/>
    <s v="No"/>
    <s v="Non-Travel"/>
    <n v="1485"/>
    <s v="Research &amp; Development"/>
    <n v="25"/>
    <n v="2"/>
    <s v="Life Sciences"/>
    <n v="1"/>
    <n v="1397"/>
    <n v="3"/>
    <s v="Male"/>
    <n v="71"/>
    <n v="3"/>
    <x v="2"/>
    <s v="Healthcare Representative"/>
    <n v="3"/>
    <s v="Married"/>
    <x v="935"/>
    <n v="3449"/>
    <n v="3"/>
    <s v="Y"/>
    <s v="No"/>
    <n v="21"/>
    <n v="4"/>
    <n v="2"/>
    <n v="80"/>
    <n v="1"/>
    <n v="13"/>
    <n v="2"/>
    <n v="3"/>
    <n v="6"/>
    <n v="4"/>
    <n v="0"/>
    <n v="5"/>
    <x v="0"/>
    <x v="2"/>
  </r>
  <r>
    <n v="25"/>
    <s v="No"/>
    <s v="Travel_Rarely"/>
    <n v="1372"/>
    <s v="Sales"/>
    <n v="18"/>
    <n v="1"/>
    <s v="Life Sciences"/>
    <n v="1"/>
    <n v="1399"/>
    <n v="1"/>
    <s v="Male"/>
    <n v="93"/>
    <n v="4"/>
    <x v="0"/>
    <s v="Sales Executive"/>
    <n v="3"/>
    <s v="Married"/>
    <x v="936"/>
    <n v="12477"/>
    <n v="2"/>
    <s v="Y"/>
    <s v="No"/>
    <n v="11"/>
    <n v="3"/>
    <n v="2"/>
    <n v="80"/>
    <n v="0"/>
    <n v="6"/>
    <n v="3"/>
    <n v="2"/>
    <n v="3"/>
    <n v="2"/>
    <n v="1"/>
    <n v="2"/>
    <x v="4"/>
    <x v="0"/>
  </r>
  <r>
    <n v="52"/>
    <s v="No"/>
    <s v="Travel_Frequently"/>
    <n v="322"/>
    <s v="Research &amp; Development"/>
    <n v="28"/>
    <n v="2"/>
    <s v="Medical"/>
    <n v="1"/>
    <n v="1401"/>
    <n v="4"/>
    <s v="Female"/>
    <n v="59"/>
    <n v="4"/>
    <x v="3"/>
    <s v="Manufacturing Director"/>
    <n v="3"/>
    <s v="Married"/>
    <x v="937"/>
    <n v="9731"/>
    <n v="2"/>
    <s v="Y"/>
    <s v="Yes"/>
    <n v="11"/>
    <n v="3"/>
    <n v="2"/>
    <n v="80"/>
    <n v="1"/>
    <n v="24"/>
    <n v="3"/>
    <n v="2"/>
    <n v="5"/>
    <n v="3"/>
    <n v="0"/>
    <n v="2"/>
    <x v="1"/>
    <x v="3"/>
  </r>
  <r>
    <n v="43"/>
    <s v="No"/>
    <s v="Travel_Rarely"/>
    <n v="930"/>
    <s v="Research &amp; Development"/>
    <n v="6"/>
    <n v="3"/>
    <s v="Medical"/>
    <n v="1"/>
    <n v="1402"/>
    <n v="1"/>
    <s v="Female"/>
    <n v="73"/>
    <n v="2"/>
    <x v="0"/>
    <s v="Research Scientist"/>
    <n v="3"/>
    <s v="Single"/>
    <x v="938"/>
    <n v="20003"/>
    <n v="1"/>
    <s v="Y"/>
    <s v="Yes"/>
    <n v="14"/>
    <n v="3"/>
    <n v="1"/>
    <n v="80"/>
    <n v="0"/>
    <n v="20"/>
    <n v="3"/>
    <n v="1"/>
    <n v="20"/>
    <n v="7"/>
    <n v="1"/>
    <n v="8"/>
    <x v="0"/>
    <x v="0"/>
  </r>
  <r>
    <n v="27"/>
    <s v="No"/>
    <s v="Travel_Rarely"/>
    <n v="205"/>
    <s v="Sales"/>
    <n v="10"/>
    <n v="3"/>
    <s v="Marketing"/>
    <n v="1"/>
    <n v="1403"/>
    <n v="4"/>
    <s v="Female"/>
    <n v="98"/>
    <n v="2"/>
    <x v="0"/>
    <s v="Sales Executive"/>
    <n v="4"/>
    <s v="Married"/>
    <x v="939"/>
    <n v="7100"/>
    <n v="1"/>
    <s v="Y"/>
    <s v="Yes"/>
    <n v="11"/>
    <n v="3"/>
    <n v="4"/>
    <n v="80"/>
    <n v="0"/>
    <n v="6"/>
    <n v="3"/>
    <n v="3"/>
    <n v="6"/>
    <n v="2"/>
    <n v="4"/>
    <n v="4"/>
    <x v="2"/>
    <x v="0"/>
  </r>
  <r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x v="1"/>
    <s v="Research Scientist"/>
    <n v="3"/>
    <s v="Single"/>
    <x v="940"/>
    <n v="25681"/>
    <n v="1"/>
    <s v="Y"/>
    <s v="Yes"/>
    <n v="13"/>
    <n v="3"/>
    <n v="4"/>
    <n v="80"/>
    <n v="0"/>
    <n v="8"/>
    <n v="2"/>
    <n v="3"/>
    <n v="8"/>
    <n v="2"/>
    <n v="7"/>
    <n v="7"/>
    <x v="2"/>
    <x v="1"/>
  </r>
  <r>
    <n v="26"/>
    <s v="No"/>
    <s v="Travel_Rarely"/>
    <n v="683"/>
    <s v="Research &amp; Development"/>
    <n v="2"/>
    <n v="1"/>
    <s v="Medical"/>
    <n v="1"/>
    <n v="1407"/>
    <n v="1"/>
    <s v="Male"/>
    <n v="36"/>
    <n v="2"/>
    <x v="1"/>
    <s v="Research Scientist"/>
    <n v="4"/>
    <s v="Single"/>
    <x v="885"/>
    <n v="4050"/>
    <n v="0"/>
    <s v="Y"/>
    <s v="No"/>
    <n v="12"/>
    <n v="3"/>
    <n v="4"/>
    <n v="80"/>
    <n v="0"/>
    <n v="5"/>
    <n v="2"/>
    <n v="3"/>
    <n v="4"/>
    <n v="3"/>
    <n v="1"/>
    <n v="1"/>
    <x v="2"/>
    <x v="0"/>
  </r>
  <r>
    <n v="42"/>
    <s v="No"/>
    <s v="Travel_Rarely"/>
    <n v="1147"/>
    <s v="Human Resources"/>
    <n v="10"/>
    <n v="3"/>
    <s v="Human Resources"/>
    <n v="1"/>
    <n v="1408"/>
    <n v="3"/>
    <s v="Female"/>
    <n v="31"/>
    <n v="3"/>
    <x v="3"/>
    <s v="Manager"/>
    <n v="1"/>
    <s v="Married"/>
    <x v="941"/>
    <n v="16616"/>
    <n v="0"/>
    <s v="Y"/>
    <s v="No"/>
    <n v="14"/>
    <n v="3"/>
    <n v="3"/>
    <n v="80"/>
    <n v="1"/>
    <n v="21"/>
    <n v="5"/>
    <n v="3"/>
    <n v="20"/>
    <n v="7"/>
    <n v="0"/>
    <n v="9"/>
    <x v="0"/>
    <x v="3"/>
  </r>
  <r>
    <n v="52"/>
    <s v="No"/>
    <s v="Travel_Rarely"/>
    <n v="258"/>
    <s v="Research &amp; Development"/>
    <n v="8"/>
    <n v="4"/>
    <s v="Other"/>
    <n v="1"/>
    <n v="1409"/>
    <n v="3"/>
    <s v="Female"/>
    <n v="54"/>
    <n v="3"/>
    <x v="1"/>
    <s v="Laboratory Technician"/>
    <n v="1"/>
    <s v="Married"/>
    <x v="942"/>
    <n v="17363"/>
    <n v="9"/>
    <s v="Y"/>
    <s v="No"/>
    <n v="13"/>
    <n v="3"/>
    <n v="3"/>
    <n v="80"/>
    <n v="0"/>
    <n v="12"/>
    <n v="2"/>
    <n v="1"/>
    <n v="5"/>
    <n v="4"/>
    <n v="0"/>
    <n v="4"/>
    <x v="1"/>
    <x v="1"/>
  </r>
  <r>
    <n v="37"/>
    <s v="No"/>
    <s v="Travel_Rarely"/>
    <n v="1462"/>
    <s v="Research &amp; Development"/>
    <n v="11"/>
    <n v="3"/>
    <s v="Medical"/>
    <n v="1"/>
    <n v="1411"/>
    <n v="1"/>
    <s v="Female"/>
    <n v="94"/>
    <n v="3"/>
    <x v="1"/>
    <s v="Laboratory Technician"/>
    <n v="3"/>
    <s v="Single"/>
    <x v="943"/>
    <n v="19106"/>
    <n v="4"/>
    <s v="Y"/>
    <s v="No"/>
    <n v="18"/>
    <n v="3"/>
    <n v="1"/>
    <n v="80"/>
    <n v="0"/>
    <n v="8"/>
    <n v="6"/>
    <n v="3"/>
    <n v="3"/>
    <n v="2"/>
    <n v="0"/>
    <n v="2"/>
    <x v="0"/>
    <x v="0"/>
  </r>
  <r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x v="2"/>
    <s v="Manufacturing Director"/>
    <n v="4"/>
    <s v="Single"/>
    <x v="944"/>
    <n v="19944"/>
    <n v="2"/>
    <s v="Y"/>
    <s v="No"/>
    <n v="11"/>
    <n v="3"/>
    <n v="3"/>
    <n v="80"/>
    <n v="0"/>
    <n v="10"/>
    <n v="2"/>
    <n v="3"/>
    <n v="2"/>
    <n v="2"/>
    <n v="2"/>
    <n v="2"/>
    <x v="2"/>
    <x v="2"/>
  </r>
  <r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x v="1"/>
    <s v="Laboratory Technician"/>
    <n v="4"/>
    <s v="Married"/>
    <x v="945"/>
    <n v="4910"/>
    <n v="4"/>
    <s v="Y"/>
    <s v="No"/>
    <n v="11"/>
    <n v="3"/>
    <n v="2"/>
    <n v="80"/>
    <n v="1"/>
    <n v="7"/>
    <n v="2"/>
    <n v="2"/>
    <n v="3"/>
    <n v="2"/>
    <n v="0"/>
    <n v="2"/>
    <x v="4"/>
    <x v="0"/>
  </r>
  <r>
    <n v="26"/>
    <s v="No"/>
    <s v="Travel_Rarely"/>
    <n v="652"/>
    <s v="Research &amp; Development"/>
    <n v="7"/>
    <n v="3"/>
    <s v="Other"/>
    <n v="1"/>
    <n v="1417"/>
    <n v="3"/>
    <s v="Male"/>
    <n v="100"/>
    <n v="4"/>
    <x v="1"/>
    <s v="Laboratory Technician"/>
    <n v="1"/>
    <s v="Single"/>
    <x v="946"/>
    <n v="23577"/>
    <n v="0"/>
    <s v="Y"/>
    <s v="No"/>
    <n v="12"/>
    <n v="3"/>
    <n v="4"/>
    <n v="80"/>
    <n v="0"/>
    <n v="8"/>
    <n v="2"/>
    <n v="3"/>
    <n v="7"/>
    <n v="7"/>
    <n v="0"/>
    <n v="7"/>
    <x v="2"/>
    <x v="0"/>
  </r>
  <r>
    <n v="29"/>
    <s v="No"/>
    <s v="Travel_Rarely"/>
    <n v="332"/>
    <s v="Human Resources"/>
    <n v="17"/>
    <n v="3"/>
    <s v="Other"/>
    <n v="1"/>
    <n v="1419"/>
    <n v="2"/>
    <s v="Male"/>
    <n v="51"/>
    <n v="2"/>
    <x v="2"/>
    <s v="Human Resources"/>
    <n v="1"/>
    <s v="Single"/>
    <x v="947"/>
    <n v="9769"/>
    <n v="1"/>
    <s v="Y"/>
    <s v="No"/>
    <n v="13"/>
    <n v="3"/>
    <n v="1"/>
    <n v="80"/>
    <n v="0"/>
    <n v="10"/>
    <n v="3"/>
    <n v="2"/>
    <n v="10"/>
    <n v="9"/>
    <n v="0"/>
    <n v="9"/>
    <x v="2"/>
    <x v="2"/>
  </r>
  <r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x v="0"/>
    <s v="Laboratory Technician"/>
    <n v="1"/>
    <s v="Single"/>
    <x v="948"/>
    <n v="22710"/>
    <n v="3"/>
    <s v="Y"/>
    <s v="No"/>
    <n v="20"/>
    <n v="4"/>
    <n v="1"/>
    <n v="80"/>
    <n v="0"/>
    <n v="20"/>
    <n v="2"/>
    <n v="3"/>
    <n v="4"/>
    <n v="3"/>
    <n v="1"/>
    <n v="3"/>
    <x v="1"/>
    <x v="0"/>
  </r>
  <r>
    <n v="29"/>
    <s v="Yes"/>
    <s v="Travel_Frequently"/>
    <n v="337"/>
    <s v="Research &amp; Development"/>
    <n v="14"/>
    <n v="1"/>
    <s v="Other"/>
    <n v="1"/>
    <n v="1421"/>
    <n v="3"/>
    <s v="Female"/>
    <n v="84"/>
    <n v="3"/>
    <x v="2"/>
    <s v="Healthcare Representative"/>
    <n v="4"/>
    <s v="Single"/>
    <x v="949"/>
    <n v="22930"/>
    <n v="0"/>
    <s v="Y"/>
    <s v="Yes"/>
    <n v="12"/>
    <n v="3"/>
    <n v="1"/>
    <n v="80"/>
    <n v="0"/>
    <n v="9"/>
    <n v="1"/>
    <n v="3"/>
    <n v="8"/>
    <n v="7"/>
    <n v="7"/>
    <n v="7"/>
    <x v="2"/>
    <x v="2"/>
  </r>
  <r>
    <n v="54"/>
    <s v="No"/>
    <s v="Travel_Rarely"/>
    <n v="971"/>
    <s v="Research &amp; Development"/>
    <n v="1"/>
    <n v="3"/>
    <s v="Medical"/>
    <n v="1"/>
    <n v="1422"/>
    <n v="4"/>
    <s v="Female"/>
    <n v="54"/>
    <n v="3"/>
    <x v="3"/>
    <s v="Research Director"/>
    <n v="4"/>
    <s v="Single"/>
    <x v="109"/>
    <n v="5652"/>
    <n v="6"/>
    <s v="Y"/>
    <s v="No"/>
    <n v="19"/>
    <n v="3"/>
    <n v="4"/>
    <n v="80"/>
    <n v="0"/>
    <n v="29"/>
    <n v="3"/>
    <n v="2"/>
    <n v="20"/>
    <n v="7"/>
    <n v="12"/>
    <n v="7"/>
    <x v="1"/>
    <x v="3"/>
  </r>
  <r>
    <n v="58"/>
    <s v="No"/>
    <s v="Travel_Rarely"/>
    <n v="1055"/>
    <s v="Research &amp; Development"/>
    <n v="1"/>
    <n v="3"/>
    <s v="Medical"/>
    <n v="1"/>
    <n v="1423"/>
    <n v="4"/>
    <s v="Female"/>
    <n v="76"/>
    <n v="3"/>
    <x v="4"/>
    <s v="Research Director"/>
    <n v="1"/>
    <s v="Married"/>
    <x v="950"/>
    <n v="22456"/>
    <n v="3"/>
    <s v="Y"/>
    <s v="Yes"/>
    <n v="21"/>
    <n v="4"/>
    <n v="3"/>
    <n v="80"/>
    <n v="1"/>
    <n v="32"/>
    <n v="3"/>
    <n v="3"/>
    <n v="9"/>
    <n v="8"/>
    <n v="1"/>
    <n v="5"/>
    <x v="3"/>
    <x v="3"/>
  </r>
  <r>
    <n v="55"/>
    <s v="No"/>
    <s v="Travel_Rarely"/>
    <n v="1136"/>
    <s v="Research &amp; Development"/>
    <n v="1"/>
    <n v="4"/>
    <s v="Medical"/>
    <n v="1"/>
    <n v="1424"/>
    <n v="2"/>
    <s v="Male"/>
    <n v="81"/>
    <n v="4"/>
    <x v="3"/>
    <s v="Research Director"/>
    <n v="4"/>
    <s v="Divorced"/>
    <x v="951"/>
    <n v="12414"/>
    <n v="2"/>
    <s v="Y"/>
    <s v="No"/>
    <n v="13"/>
    <n v="3"/>
    <n v="4"/>
    <n v="80"/>
    <n v="2"/>
    <n v="31"/>
    <n v="4"/>
    <n v="4"/>
    <n v="7"/>
    <n v="7"/>
    <n v="0"/>
    <n v="0"/>
    <x v="1"/>
    <x v="3"/>
  </r>
  <r>
    <n v="36"/>
    <s v="No"/>
    <s v="Travel_Rarely"/>
    <n v="1174"/>
    <s v="Sales"/>
    <n v="3"/>
    <n v="4"/>
    <s v="Marketing"/>
    <n v="1"/>
    <n v="1425"/>
    <n v="1"/>
    <s v="Female"/>
    <n v="99"/>
    <n v="3"/>
    <x v="0"/>
    <s v="Sales Executive"/>
    <n v="2"/>
    <s v="Single"/>
    <x v="952"/>
    <n v="20763"/>
    <n v="3"/>
    <s v="Y"/>
    <s v="Yes"/>
    <n v="16"/>
    <n v="3"/>
    <n v="4"/>
    <n v="80"/>
    <n v="0"/>
    <n v="15"/>
    <n v="3"/>
    <n v="3"/>
    <n v="5"/>
    <n v="4"/>
    <n v="0"/>
    <n v="1"/>
    <x v="0"/>
    <x v="2"/>
  </r>
  <r>
    <n v="31"/>
    <s v="Yes"/>
    <s v="Travel_Frequently"/>
    <n v="667"/>
    <s v="Sales"/>
    <n v="1"/>
    <n v="4"/>
    <s v="Life Sciences"/>
    <n v="1"/>
    <n v="1427"/>
    <n v="2"/>
    <s v="Female"/>
    <n v="50"/>
    <n v="1"/>
    <x v="1"/>
    <s v="Sales Representative"/>
    <n v="3"/>
    <s v="Single"/>
    <x v="953"/>
    <n v="16154"/>
    <n v="1"/>
    <s v="Y"/>
    <s v="No"/>
    <n v="12"/>
    <n v="3"/>
    <n v="2"/>
    <n v="80"/>
    <n v="0"/>
    <n v="1"/>
    <n v="3"/>
    <n v="3"/>
    <n v="1"/>
    <n v="0"/>
    <n v="0"/>
    <n v="0"/>
    <x v="2"/>
    <x v="1"/>
  </r>
  <r>
    <n v="30"/>
    <s v="No"/>
    <s v="Travel_Rarely"/>
    <n v="855"/>
    <s v="Sales"/>
    <n v="7"/>
    <n v="4"/>
    <s v="Marketing"/>
    <n v="1"/>
    <n v="1428"/>
    <n v="4"/>
    <s v="Female"/>
    <n v="73"/>
    <n v="3"/>
    <x v="0"/>
    <s v="Sales Executive"/>
    <n v="1"/>
    <s v="Divorced"/>
    <x v="586"/>
    <n v="12761"/>
    <n v="7"/>
    <s v="Y"/>
    <s v="No"/>
    <n v="14"/>
    <n v="3"/>
    <n v="2"/>
    <n v="80"/>
    <n v="2"/>
    <n v="8"/>
    <n v="3"/>
    <n v="3"/>
    <n v="3"/>
    <n v="2"/>
    <n v="0"/>
    <n v="2"/>
    <x v="2"/>
    <x v="0"/>
  </r>
  <r>
    <n v="31"/>
    <s v="No"/>
    <s v="Travel_Rarely"/>
    <n v="182"/>
    <s v="Research &amp; Development"/>
    <n v="8"/>
    <n v="5"/>
    <s v="Life Sciences"/>
    <n v="1"/>
    <n v="1430"/>
    <n v="1"/>
    <s v="Female"/>
    <n v="93"/>
    <n v="3"/>
    <x v="3"/>
    <s v="Research Director"/>
    <n v="2"/>
    <s v="Single"/>
    <x v="954"/>
    <n v="8847"/>
    <n v="3"/>
    <s v="Y"/>
    <s v="No"/>
    <n v="11"/>
    <n v="3"/>
    <n v="3"/>
    <n v="80"/>
    <n v="0"/>
    <n v="9"/>
    <n v="3"/>
    <n v="4"/>
    <n v="3"/>
    <n v="2"/>
    <n v="1"/>
    <n v="0"/>
    <x v="2"/>
    <x v="3"/>
  </r>
  <r>
    <n v="34"/>
    <s v="No"/>
    <s v="Travel_Frequently"/>
    <n v="560"/>
    <s v="Research &amp; Development"/>
    <n v="1"/>
    <n v="4"/>
    <s v="Other"/>
    <n v="1"/>
    <n v="1431"/>
    <n v="4"/>
    <s v="Male"/>
    <n v="91"/>
    <n v="3"/>
    <x v="1"/>
    <s v="Research Scientist"/>
    <n v="1"/>
    <s v="Divorced"/>
    <x v="932"/>
    <n v="20284"/>
    <n v="5"/>
    <s v="Y"/>
    <s v="No"/>
    <n v="14"/>
    <n v="3"/>
    <n v="3"/>
    <n v="80"/>
    <n v="2"/>
    <n v="10"/>
    <n v="2"/>
    <n v="3"/>
    <n v="4"/>
    <n v="3"/>
    <n v="1"/>
    <n v="3"/>
    <x v="2"/>
    <x v="1"/>
  </r>
  <r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x v="1"/>
    <s v="Research Scientist"/>
    <n v="2"/>
    <s v="Single"/>
    <x v="955"/>
    <n v="22262"/>
    <n v="1"/>
    <s v="Y"/>
    <s v="No"/>
    <n v="12"/>
    <n v="3"/>
    <n v="3"/>
    <n v="80"/>
    <n v="0"/>
    <n v="1"/>
    <n v="3"/>
    <n v="4"/>
    <n v="1"/>
    <n v="0"/>
    <n v="0"/>
    <n v="0"/>
    <x v="2"/>
    <x v="1"/>
  </r>
  <r>
    <n v="27"/>
    <s v="No"/>
    <s v="Travel_Rarely"/>
    <n v="1377"/>
    <s v="Research &amp; Development"/>
    <n v="11"/>
    <n v="1"/>
    <s v="Life Sciences"/>
    <n v="1"/>
    <n v="1434"/>
    <n v="2"/>
    <s v="Male"/>
    <n v="91"/>
    <n v="3"/>
    <x v="1"/>
    <s v="Laboratory Technician"/>
    <n v="1"/>
    <s v="Married"/>
    <x v="956"/>
    <n v="7679"/>
    <n v="0"/>
    <s v="Y"/>
    <s v="No"/>
    <n v="14"/>
    <n v="3"/>
    <n v="2"/>
    <n v="80"/>
    <n v="0"/>
    <n v="6"/>
    <n v="3"/>
    <n v="4"/>
    <n v="5"/>
    <n v="0"/>
    <n v="1"/>
    <n v="4"/>
    <x v="2"/>
    <x v="1"/>
  </r>
  <r>
    <n v="36"/>
    <s v="No"/>
    <s v="Travel_Rarely"/>
    <n v="172"/>
    <s v="Research &amp; Development"/>
    <n v="4"/>
    <n v="4"/>
    <s v="Life Sciences"/>
    <n v="1"/>
    <n v="1435"/>
    <n v="1"/>
    <s v="Male"/>
    <n v="37"/>
    <n v="2"/>
    <x v="0"/>
    <s v="Laboratory Technician"/>
    <n v="4"/>
    <s v="Single"/>
    <x v="957"/>
    <n v="22604"/>
    <n v="1"/>
    <s v="Y"/>
    <s v="No"/>
    <n v="16"/>
    <n v="3"/>
    <n v="3"/>
    <n v="80"/>
    <n v="0"/>
    <n v="10"/>
    <n v="2"/>
    <n v="2"/>
    <n v="10"/>
    <n v="4"/>
    <n v="1"/>
    <n v="8"/>
    <x v="0"/>
    <x v="0"/>
  </r>
  <r>
    <n v="36"/>
    <s v="No"/>
    <s v="Travel_Rarely"/>
    <n v="329"/>
    <s v="Sales"/>
    <n v="16"/>
    <n v="4"/>
    <s v="Marketing"/>
    <n v="1"/>
    <n v="1436"/>
    <n v="3"/>
    <s v="Female"/>
    <n v="98"/>
    <n v="2"/>
    <x v="0"/>
    <s v="Sales Executive"/>
    <n v="1"/>
    <s v="Married"/>
    <x v="958"/>
    <n v="13494"/>
    <n v="4"/>
    <s v="Y"/>
    <s v="No"/>
    <n v="13"/>
    <n v="3"/>
    <n v="1"/>
    <n v="80"/>
    <n v="2"/>
    <n v="11"/>
    <n v="3"/>
    <n v="2"/>
    <n v="3"/>
    <n v="2"/>
    <n v="0"/>
    <n v="2"/>
    <x v="0"/>
    <x v="0"/>
  </r>
  <r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x v="1"/>
    <s v="Research Scientist"/>
    <n v="4"/>
    <s v="Married"/>
    <x v="959"/>
    <n v="10205"/>
    <n v="7"/>
    <s v="Y"/>
    <s v="No"/>
    <n v="12"/>
    <n v="3"/>
    <n v="3"/>
    <n v="80"/>
    <n v="1"/>
    <n v="17"/>
    <n v="2"/>
    <n v="2"/>
    <n v="6"/>
    <n v="5"/>
    <n v="1"/>
    <n v="2"/>
    <x v="1"/>
    <x v="0"/>
  </r>
  <r>
    <n v="25"/>
    <s v="Yes"/>
    <s v="Travel_Rarely"/>
    <n v="383"/>
    <s v="Sales"/>
    <n v="9"/>
    <n v="2"/>
    <s v="Life Sciences"/>
    <n v="1"/>
    <n v="1439"/>
    <n v="1"/>
    <s v="Male"/>
    <n v="68"/>
    <n v="2"/>
    <x v="1"/>
    <s v="Sales Representative"/>
    <n v="1"/>
    <s v="Married"/>
    <x v="960"/>
    <n v="15182"/>
    <n v="3"/>
    <s v="Y"/>
    <s v="No"/>
    <n v="12"/>
    <n v="3"/>
    <n v="1"/>
    <n v="80"/>
    <n v="0"/>
    <n v="6"/>
    <n v="2"/>
    <n v="3"/>
    <n v="3"/>
    <n v="2"/>
    <n v="2"/>
    <n v="2"/>
    <x v="4"/>
    <x v="0"/>
  </r>
  <r>
    <n v="37"/>
    <s v="No"/>
    <s v="Non-Travel"/>
    <n v="1413"/>
    <s v="Research &amp; Development"/>
    <n v="5"/>
    <n v="2"/>
    <s v="Technical Degree"/>
    <n v="1"/>
    <n v="1440"/>
    <n v="3"/>
    <s v="Male"/>
    <n v="84"/>
    <n v="4"/>
    <x v="1"/>
    <s v="Laboratory Technician"/>
    <n v="3"/>
    <s v="Single"/>
    <x v="961"/>
    <n v="25470"/>
    <n v="0"/>
    <s v="Y"/>
    <s v="No"/>
    <n v="14"/>
    <n v="3"/>
    <n v="1"/>
    <n v="80"/>
    <n v="0"/>
    <n v="7"/>
    <n v="2"/>
    <n v="1"/>
    <n v="6"/>
    <n v="5"/>
    <n v="1"/>
    <n v="3"/>
    <x v="0"/>
    <x v="0"/>
  </r>
  <r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x v="1"/>
    <s v="Research Scientist"/>
    <n v="1"/>
    <s v="Married"/>
    <x v="962"/>
    <n v="10494"/>
    <n v="2"/>
    <s v="Y"/>
    <s v="No"/>
    <n v="22"/>
    <n v="4"/>
    <n v="4"/>
    <n v="80"/>
    <n v="1"/>
    <n v="5"/>
    <n v="3"/>
    <n v="4"/>
    <n v="3"/>
    <n v="2"/>
    <n v="1"/>
    <n v="0"/>
    <x v="3"/>
    <x v="1"/>
  </r>
  <r>
    <n v="47"/>
    <s v="No"/>
    <s v="Travel_Rarely"/>
    <n v="359"/>
    <s v="Research &amp; Development"/>
    <n v="2"/>
    <n v="4"/>
    <s v="Medical"/>
    <n v="1"/>
    <n v="1443"/>
    <n v="1"/>
    <s v="Female"/>
    <n v="82"/>
    <n v="3"/>
    <x v="3"/>
    <s v="Research Director"/>
    <n v="3"/>
    <s v="Married"/>
    <x v="963"/>
    <n v="26703"/>
    <n v="3"/>
    <s v="Y"/>
    <s v="No"/>
    <n v="19"/>
    <n v="3"/>
    <n v="2"/>
    <n v="80"/>
    <n v="2"/>
    <n v="26"/>
    <n v="2"/>
    <n v="4"/>
    <n v="20"/>
    <n v="17"/>
    <n v="5"/>
    <n v="6"/>
    <x v="1"/>
    <x v="3"/>
  </r>
  <r>
    <n v="24"/>
    <s v="No"/>
    <s v="Travel_Rarely"/>
    <n v="1476"/>
    <s v="Sales"/>
    <n v="4"/>
    <n v="1"/>
    <s v="Medical"/>
    <n v="1"/>
    <n v="1445"/>
    <n v="4"/>
    <s v="Female"/>
    <n v="42"/>
    <n v="3"/>
    <x v="0"/>
    <s v="Sales Executive"/>
    <n v="3"/>
    <s v="Married"/>
    <x v="964"/>
    <n v="15211"/>
    <n v="1"/>
    <s v="Y"/>
    <s v="Yes"/>
    <n v="12"/>
    <n v="3"/>
    <n v="3"/>
    <n v="80"/>
    <n v="2"/>
    <n v="5"/>
    <n v="3"/>
    <n v="3"/>
    <n v="5"/>
    <n v="4"/>
    <n v="0"/>
    <n v="3"/>
    <x v="4"/>
    <x v="0"/>
  </r>
  <r>
    <n v="32"/>
    <s v="No"/>
    <s v="Travel_Rarely"/>
    <n v="601"/>
    <s v="Sales"/>
    <n v="7"/>
    <n v="5"/>
    <s v="Marketing"/>
    <n v="1"/>
    <n v="1446"/>
    <n v="4"/>
    <s v="Male"/>
    <n v="97"/>
    <n v="3"/>
    <x v="0"/>
    <s v="Sales Executive"/>
    <n v="4"/>
    <s v="Married"/>
    <x v="965"/>
    <n v="23343"/>
    <n v="4"/>
    <s v="Y"/>
    <s v="No"/>
    <n v="12"/>
    <n v="3"/>
    <n v="3"/>
    <n v="80"/>
    <n v="1"/>
    <n v="7"/>
    <n v="3"/>
    <n v="2"/>
    <n v="4"/>
    <n v="3"/>
    <n v="0"/>
    <n v="3"/>
    <x v="2"/>
    <x v="2"/>
  </r>
  <r>
    <n v="34"/>
    <s v="No"/>
    <s v="Travel_Rarely"/>
    <n v="401"/>
    <s v="Research &amp; Development"/>
    <n v="1"/>
    <n v="3"/>
    <s v="Life Sciences"/>
    <n v="1"/>
    <n v="1447"/>
    <n v="4"/>
    <s v="Female"/>
    <n v="86"/>
    <n v="2"/>
    <x v="1"/>
    <s v="Laboratory Technician"/>
    <n v="2"/>
    <s v="Married"/>
    <x v="635"/>
    <n v="3708"/>
    <n v="5"/>
    <s v="Y"/>
    <s v="No"/>
    <n v="17"/>
    <n v="3"/>
    <n v="1"/>
    <n v="80"/>
    <n v="1"/>
    <n v="7"/>
    <n v="2"/>
    <n v="2"/>
    <n v="5"/>
    <n v="4"/>
    <n v="0"/>
    <n v="2"/>
    <x v="2"/>
    <x v="0"/>
  </r>
  <r>
    <n v="41"/>
    <s v="No"/>
    <s v="Travel_Rarely"/>
    <n v="1283"/>
    <s v="Research &amp; Development"/>
    <n v="5"/>
    <n v="5"/>
    <s v="Medical"/>
    <n v="1"/>
    <n v="1448"/>
    <n v="2"/>
    <s v="Male"/>
    <n v="90"/>
    <n v="4"/>
    <x v="1"/>
    <s v="Research Scientist"/>
    <n v="3"/>
    <s v="Married"/>
    <x v="459"/>
    <n v="5561"/>
    <n v="2"/>
    <s v="Y"/>
    <s v="Yes"/>
    <n v="12"/>
    <n v="3"/>
    <n v="1"/>
    <n v="80"/>
    <n v="0"/>
    <n v="7"/>
    <n v="5"/>
    <n v="2"/>
    <n v="4"/>
    <n v="2"/>
    <n v="0"/>
    <n v="3"/>
    <x v="0"/>
    <x v="1"/>
  </r>
  <r>
    <n v="40"/>
    <s v="No"/>
    <s v="Non-Travel"/>
    <n v="663"/>
    <s v="Research &amp; Development"/>
    <n v="9"/>
    <n v="4"/>
    <s v="Other"/>
    <n v="1"/>
    <n v="1449"/>
    <n v="3"/>
    <s v="Male"/>
    <n v="81"/>
    <n v="3"/>
    <x v="0"/>
    <s v="Laboratory Technician"/>
    <n v="3"/>
    <s v="Divorced"/>
    <x v="966"/>
    <n v="23099"/>
    <n v="3"/>
    <s v="Y"/>
    <s v="No"/>
    <n v="11"/>
    <n v="3"/>
    <n v="3"/>
    <n v="80"/>
    <n v="2"/>
    <n v="11"/>
    <n v="2"/>
    <n v="4"/>
    <n v="8"/>
    <n v="7"/>
    <n v="0"/>
    <n v="7"/>
    <x v="0"/>
    <x v="0"/>
  </r>
  <r>
    <n v="31"/>
    <s v="No"/>
    <s v="Travel_Rarely"/>
    <n v="326"/>
    <s v="Sales"/>
    <n v="8"/>
    <n v="2"/>
    <s v="Life Sciences"/>
    <n v="1"/>
    <n v="1453"/>
    <n v="1"/>
    <s v="Male"/>
    <n v="31"/>
    <n v="3"/>
    <x v="2"/>
    <s v="Sales Executive"/>
    <n v="4"/>
    <s v="Divorced"/>
    <x v="967"/>
    <n v="8386"/>
    <n v="1"/>
    <s v="Y"/>
    <s v="No"/>
    <n v="18"/>
    <n v="3"/>
    <n v="1"/>
    <n v="80"/>
    <n v="1"/>
    <n v="13"/>
    <n v="5"/>
    <n v="3"/>
    <n v="13"/>
    <n v="7"/>
    <n v="9"/>
    <n v="9"/>
    <x v="2"/>
    <x v="2"/>
  </r>
  <r>
    <n v="46"/>
    <s v="Yes"/>
    <s v="Travel_Rarely"/>
    <n v="377"/>
    <s v="Sales"/>
    <n v="9"/>
    <n v="3"/>
    <s v="Marketing"/>
    <n v="1"/>
    <n v="1457"/>
    <n v="1"/>
    <s v="Male"/>
    <n v="52"/>
    <n v="3"/>
    <x v="2"/>
    <s v="Sales Executive"/>
    <n v="4"/>
    <s v="Divorced"/>
    <x v="61"/>
    <n v="15986"/>
    <n v="4"/>
    <s v="Y"/>
    <s v="No"/>
    <n v="11"/>
    <n v="3"/>
    <n v="1"/>
    <n v="80"/>
    <n v="1"/>
    <n v="28"/>
    <n v="1"/>
    <n v="4"/>
    <n v="7"/>
    <n v="7"/>
    <n v="4"/>
    <n v="3"/>
    <x v="1"/>
    <x v="2"/>
  </r>
  <r>
    <n v="39"/>
    <s v="Yes"/>
    <s v="Non-Travel"/>
    <n v="592"/>
    <s v="Research &amp; Development"/>
    <n v="2"/>
    <n v="3"/>
    <s v="Life Sciences"/>
    <n v="1"/>
    <n v="1458"/>
    <n v="1"/>
    <s v="Female"/>
    <n v="54"/>
    <n v="2"/>
    <x v="1"/>
    <s v="Laboratory Technician"/>
    <n v="1"/>
    <s v="Single"/>
    <x v="968"/>
    <n v="17181"/>
    <n v="2"/>
    <s v="Y"/>
    <s v="Yes"/>
    <n v="23"/>
    <n v="4"/>
    <n v="2"/>
    <n v="80"/>
    <n v="0"/>
    <n v="11"/>
    <n v="2"/>
    <n v="4"/>
    <n v="1"/>
    <n v="0"/>
    <n v="0"/>
    <n v="0"/>
    <x v="0"/>
    <x v="0"/>
  </r>
  <r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x v="2"/>
    <s v="Manufacturing Director"/>
    <n v="2"/>
    <s v="Single"/>
    <x v="969"/>
    <n v="8931"/>
    <n v="1"/>
    <s v="Y"/>
    <s v="No"/>
    <n v="11"/>
    <n v="3"/>
    <n v="1"/>
    <n v="80"/>
    <n v="0"/>
    <n v="10"/>
    <n v="2"/>
    <n v="3"/>
    <n v="10"/>
    <n v="8"/>
    <n v="4"/>
    <n v="7"/>
    <x v="2"/>
    <x v="2"/>
  </r>
  <r>
    <n v="45"/>
    <s v="No"/>
    <s v="Travel_Rarely"/>
    <n v="1038"/>
    <s v="Research &amp; Development"/>
    <n v="20"/>
    <n v="3"/>
    <s v="Medical"/>
    <n v="1"/>
    <n v="1460"/>
    <n v="2"/>
    <s v="Male"/>
    <n v="95"/>
    <n v="1"/>
    <x v="2"/>
    <s v="Healthcare Representative"/>
    <n v="1"/>
    <s v="Divorced"/>
    <x v="970"/>
    <n v="19863"/>
    <n v="2"/>
    <s v="Y"/>
    <s v="Yes"/>
    <n v="18"/>
    <n v="3"/>
    <n v="2"/>
    <n v="80"/>
    <n v="1"/>
    <n v="24"/>
    <n v="2"/>
    <n v="3"/>
    <n v="7"/>
    <n v="7"/>
    <n v="0"/>
    <n v="7"/>
    <x v="0"/>
    <x v="2"/>
  </r>
  <r>
    <n v="31"/>
    <s v="No"/>
    <s v="Travel_Rarely"/>
    <n v="1398"/>
    <s v="Human Resources"/>
    <n v="8"/>
    <n v="2"/>
    <s v="Medical"/>
    <n v="1"/>
    <n v="1461"/>
    <n v="4"/>
    <s v="Female"/>
    <n v="96"/>
    <n v="4"/>
    <x v="1"/>
    <s v="Human Resources"/>
    <n v="2"/>
    <s v="Single"/>
    <x v="971"/>
    <n v="24609"/>
    <n v="9"/>
    <s v="Y"/>
    <s v="No"/>
    <n v="18"/>
    <n v="3"/>
    <n v="4"/>
    <n v="80"/>
    <n v="0"/>
    <n v="8"/>
    <n v="3"/>
    <n v="3"/>
    <n v="3"/>
    <n v="2"/>
    <n v="0"/>
    <n v="2"/>
    <x v="2"/>
    <x v="1"/>
  </r>
  <r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x v="1"/>
    <s v="Laboratory Technician"/>
    <n v="4"/>
    <s v="Married"/>
    <x v="972"/>
    <n v="21081"/>
    <n v="6"/>
    <s v="Y"/>
    <s v="Yes"/>
    <n v="13"/>
    <n v="3"/>
    <n v="3"/>
    <n v="80"/>
    <n v="1"/>
    <n v="7"/>
    <n v="2"/>
    <n v="1"/>
    <n v="2"/>
    <n v="2"/>
    <n v="2"/>
    <n v="2"/>
    <x v="2"/>
    <x v="0"/>
  </r>
  <r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x v="2"/>
    <s v="Manufacturing Director"/>
    <n v="4"/>
    <s v="Married"/>
    <x v="973"/>
    <n v="14720"/>
    <n v="4"/>
    <s v="Y"/>
    <s v="Yes"/>
    <n v="18"/>
    <n v="3"/>
    <n v="4"/>
    <n v="80"/>
    <n v="2"/>
    <n v="10"/>
    <n v="4"/>
    <n v="4"/>
    <n v="3"/>
    <n v="1"/>
    <n v="1"/>
    <n v="2"/>
    <x v="0"/>
    <x v="2"/>
  </r>
  <r>
    <n v="48"/>
    <s v="No"/>
    <s v="Travel_Rarely"/>
    <n v="1221"/>
    <s v="Sales"/>
    <n v="7"/>
    <n v="3"/>
    <s v="Marketing"/>
    <n v="1"/>
    <n v="1466"/>
    <n v="3"/>
    <s v="Male"/>
    <n v="96"/>
    <n v="3"/>
    <x v="0"/>
    <s v="Sales Executive"/>
    <n v="1"/>
    <s v="Divorced"/>
    <x v="974"/>
    <n v="24795"/>
    <n v="4"/>
    <s v="Y"/>
    <s v="No"/>
    <n v="11"/>
    <n v="3"/>
    <n v="1"/>
    <n v="80"/>
    <n v="3"/>
    <n v="15"/>
    <n v="3"/>
    <n v="3"/>
    <n v="2"/>
    <n v="2"/>
    <n v="2"/>
    <n v="2"/>
    <x v="1"/>
    <x v="0"/>
  </r>
  <r>
    <n v="34"/>
    <s v="Yes"/>
    <s v="Travel_Rarely"/>
    <n v="1107"/>
    <s v="Human Resources"/>
    <n v="9"/>
    <n v="4"/>
    <s v="Technical Degree"/>
    <n v="1"/>
    <n v="1467"/>
    <n v="1"/>
    <s v="Female"/>
    <n v="52"/>
    <n v="3"/>
    <x v="1"/>
    <s v="Human Resources"/>
    <n v="3"/>
    <s v="Married"/>
    <x v="975"/>
    <n v="3072"/>
    <n v="1"/>
    <s v="Y"/>
    <s v="No"/>
    <n v="15"/>
    <n v="3"/>
    <n v="4"/>
    <n v="80"/>
    <n v="0"/>
    <n v="2"/>
    <n v="0"/>
    <n v="3"/>
    <n v="2"/>
    <n v="2"/>
    <n v="2"/>
    <n v="2"/>
    <x v="2"/>
    <x v="1"/>
  </r>
  <r>
    <n v="40"/>
    <s v="No"/>
    <s v="Non-Travel"/>
    <n v="218"/>
    <s v="Research &amp; Development"/>
    <n v="8"/>
    <n v="1"/>
    <s v="Medical"/>
    <n v="1"/>
    <n v="1468"/>
    <n v="4"/>
    <s v="Male"/>
    <n v="55"/>
    <n v="2"/>
    <x v="2"/>
    <s v="Research Director"/>
    <n v="2"/>
    <s v="Divorced"/>
    <x v="976"/>
    <n v="25178"/>
    <n v="2"/>
    <s v="Y"/>
    <s v="No"/>
    <n v="11"/>
    <n v="3"/>
    <n v="3"/>
    <n v="80"/>
    <n v="1"/>
    <n v="16"/>
    <n v="5"/>
    <n v="3"/>
    <n v="9"/>
    <n v="8"/>
    <n v="4"/>
    <n v="8"/>
    <x v="0"/>
    <x v="3"/>
  </r>
  <r>
    <n v="28"/>
    <s v="No"/>
    <s v="Travel_Rarely"/>
    <n v="866"/>
    <s v="Sales"/>
    <n v="5"/>
    <n v="3"/>
    <s v="Medical"/>
    <n v="1"/>
    <n v="1469"/>
    <n v="4"/>
    <s v="Male"/>
    <n v="84"/>
    <n v="3"/>
    <x v="0"/>
    <s v="Sales Executive"/>
    <n v="1"/>
    <s v="Single"/>
    <x v="977"/>
    <n v="23490"/>
    <n v="0"/>
    <s v="Y"/>
    <s v="No"/>
    <n v="18"/>
    <n v="3"/>
    <n v="4"/>
    <n v="80"/>
    <n v="0"/>
    <n v="6"/>
    <n v="4"/>
    <n v="3"/>
    <n v="5"/>
    <n v="4"/>
    <n v="1"/>
    <n v="3"/>
    <x v="2"/>
    <x v="2"/>
  </r>
  <r>
    <n v="44"/>
    <s v="No"/>
    <s v="Non-Travel"/>
    <n v="981"/>
    <s v="Research &amp; Development"/>
    <n v="5"/>
    <n v="3"/>
    <s v="Life Sciences"/>
    <n v="1"/>
    <n v="1471"/>
    <n v="3"/>
    <s v="Male"/>
    <n v="90"/>
    <n v="2"/>
    <x v="1"/>
    <s v="Laboratory Technician"/>
    <n v="3"/>
    <s v="Single"/>
    <x v="612"/>
    <n v="7973"/>
    <n v="3"/>
    <s v="Y"/>
    <s v="No"/>
    <n v="14"/>
    <n v="3"/>
    <n v="4"/>
    <n v="80"/>
    <n v="0"/>
    <n v="7"/>
    <n v="5"/>
    <n v="3"/>
    <n v="5"/>
    <n v="2"/>
    <n v="0"/>
    <n v="3"/>
    <x v="0"/>
    <x v="0"/>
  </r>
  <r>
    <n v="53"/>
    <s v="No"/>
    <s v="Travel_Rarely"/>
    <n v="447"/>
    <s v="Research &amp; Development"/>
    <n v="2"/>
    <n v="3"/>
    <s v="Medical"/>
    <n v="1"/>
    <n v="1472"/>
    <n v="4"/>
    <s v="Male"/>
    <n v="39"/>
    <n v="4"/>
    <x v="3"/>
    <s v="Research Director"/>
    <n v="2"/>
    <s v="Single"/>
    <x v="978"/>
    <n v="19764"/>
    <n v="4"/>
    <s v="Y"/>
    <s v="No"/>
    <n v="12"/>
    <n v="3"/>
    <n v="2"/>
    <n v="80"/>
    <n v="0"/>
    <n v="35"/>
    <n v="2"/>
    <n v="2"/>
    <n v="9"/>
    <n v="8"/>
    <n v="8"/>
    <n v="8"/>
    <x v="1"/>
    <x v="3"/>
  </r>
  <r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x v="0"/>
    <s v="Healthcare Representative"/>
    <n v="3"/>
    <s v="Married"/>
    <x v="979"/>
    <n v="21534"/>
    <n v="2"/>
    <s v="Y"/>
    <s v="No"/>
    <n v="14"/>
    <n v="3"/>
    <n v="2"/>
    <n v="80"/>
    <n v="1"/>
    <n v="20"/>
    <n v="0"/>
    <n v="2"/>
    <n v="3"/>
    <n v="2"/>
    <n v="1"/>
    <n v="2"/>
    <x v="1"/>
    <x v="0"/>
  </r>
  <r>
    <n v="40"/>
    <s v="No"/>
    <s v="Travel_Rarely"/>
    <n v="896"/>
    <s v="Research &amp; Development"/>
    <n v="2"/>
    <n v="3"/>
    <s v="Medical"/>
    <n v="1"/>
    <n v="1474"/>
    <n v="3"/>
    <s v="Male"/>
    <n v="68"/>
    <n v="3"/>
    <x v="1"/>
    <s v="Research Scientist"/>
    <n v="3"/>
    <s v="Divorced"/>
    <x v="980"/>
    <n v="8045"/>
    <n v="2"/>
    <s v="Y"/>
    <s v="No"/>
    <n v="14"/>
    <n v="3"/>
    <n v="3"/>
    <n v="80"/>
    <n v="1"/>
    <n v="8"/>
    <n v="3"/>
    <n v="4"/>
    <n v="3"/>
    <n v="1"/>
    <n v="1"/>
    <n v="2"/>
    <x v="0"/>
    <x v="1"/>
  </r>
  <r>
    <n v="44"/>
    <s v="No"/>
    <s v="Travel_Rarely"/>
    <n v="1467"/>
    <s v="Research &amp; Development"/>
    <n v="20"/>
    <n v="3"/>
    <s v="Life Sciences"/>
    <n v="1"/>
    <n v="1475"/>
    <n v="4"/>
    <s v="Male"/>
    <n v="49"/>
    <n v="3"/>
    <x v="1"/>
    <s v="Research Scientist"/>
    <n v="2"/>
    <s v="Single"/>
    <x v="959"/>
    <n v="21158"/>
    <n v="1"/>
    <s v="Y"/>
    <s v="No"/>
    <n v="13"/>
    <n v="3"/>
    <n v="3"/>
    <n v="80"/>
    <n v="0"/>
    <n v="6"/>
    <n v="3"/>
    <n v="2"/>
    <n v="5"/>
    <n v="2"/>
    <n v="1"/>
    <n v="3"/>
    <x v="0"/>
    <x v="0"/>
  </r>
  <r>
    <n v="33"/>
    <s v="No"/>
    <s v="Travel_Frequently"/>
    <n v="430"/>
    <s v="Sales"/>
    <n v="7"/>
    <n v="3"/>
    <s v="Medical"/>
    <n v="1"/>
    <n v="1477"/>
    <n v="4"/>
    <s v="Male"/>
    <n v="54"/>
    <n v="3"/>
    <x v="0"/>
    <s v="Sales Executive"/>
    <n v="1"/>
    <s v="Married"/>
    <x v="981"/>
    <n v="17456"/>
    <n v="0"/>
    <s v="Y"/>
    <s v="No"/>
    <n v="14"/>
    <n v="3"/>
    <n v="1"/>
    <n v="80"/>
    <n v="2"/>
    <n v="5"/>
    <n v="2"/>
    <n v="3"/>
    <n v="4"/>
    <n v="3"/>
    <n v="0"/>
    <n v="3"/>
    <x v="2"/>
    <x v="0"/>
  </r>
  <r>
    <n v="34"/>
    <s v="No"/>
    <s v="Travel_Rarely"/>
    <n v="1326"/>
    <s v="Sales"/>
    <n v="3"/>
    <n v="3"/>
    <s v="Other"/>
    <n v="1"/>
    <n v="1478"/>
    <n v="4"/>
    <s v="Male"/>
    <n v="81"/>
    <n v="1"/>
    <x v="0"/>
    <s v="Sales Executive"/>
    <n v="1"/>
    <s v="Single"/>
    <x v="982"/>
    <n v="15891"/>
    <n v="3"/>
    <s v="Y"/>
    <s v="No"/>
    <n v="18"/>
    <n v="3"/>
    <n v="4"/>
    <n v="80"/>
    <n v="0"/>
    <n v="15"/>
    <n v="2"/>
    <n v="3"/>
    <n v="13"/>
    <n v="9"/>
    <n v="3"/>
    <n v="12"/>
    <x v="2"/>
    <x v="0"/>
  </r>
  <r>
    <n v="30"/>
    <s v="No"/>
    <s v="Travel_Rarely"/>
    <n v="1358"/>
    <s v="Sales"/>
    <n v="16"/>
    <n v="1"/>
    <s v="Life Sciences"/>
    <n v="1"/>
    <n v="1479"/>
    <n v="4"/>
    <s v="Male"/>
    <n v="96"/>
    <n v="3"/>
    <x v="0"/>
    <s v="Sales Executive"/>
    <n v="3"/>
    <s v="Married"/>
    <x v="983"/>
    <n v="2939"/>
    <n v="8"/>
    <s v="Y"/>
    <s v="No"/>
    <n v="15"/>
    <n v="3"/>
    <n v="3"/>
    <n v="80"/>
    <n v="2"/>
    <n v="4"/>
    <n v="2"/>
    <n v="2"/>
    <n v="2"/>
    <n v="1"/>
    <n v="2"/>
    <n v="2"/>
    <x v="2"/>
    <x v="0"/>
  </r>
  <r>
    <n v="42"/>
    <s v="No"/>
    <s v="Travel_Frequently"/>
    <n v="748"/>
    <s v="Research &amp; Development"/>
    <n v="9"/>
    <n v="2"/>
    <s v="Medical"/>
    <n v="1"/>
    <n v="1480"/>
    <n v="1"/>
    <s v="Female"/>
    <n v="74"/>
    <n v="3"/>
    <x v="1"/>
    <s v="Laboratory Technician"/>
    <n v="4"/>
    <s v="Single"/>
    <x v="984"/>
    <n v="16458"/>
    <n v="1"/>
    <s v="Y"/>
    <s v="No"/>
    <n v="13"/>
    <n v="3"/>
    <n v="3"/>
    <n v="80"/>
    <n v="0"/>
    <n v="12"/>
    <n v="3"/>
    <n v="3"/>
    <n v="12"/>
    <n v="9"/>
    <n v="5"/>
    <n v="8"/>
    <x v="0"/>
    <x v="0"/>
  </r>
  <r>
    <n v="44"/>
    <s v="No"/>
    <s v="Travel_Frequently"/>
    <n v="383"/>
    <s v="Sales"/>
    <n v="1"/>
    <n v="5"/>
    <s v="Marketing"/>
    <n v="1"/>
    <n v="1481"/>
    <n v="1"/>
    <s v="Female"/>
    <n v="79"/>
    <n v="3"/>
    <x v="0"/>
    <s v="Sales Executive"/>
    <n v="3"/>
    <s v="Married"/>
    <x v="985"/>
    <n v="9282"/>
    <n v="7"/>
    <s v="Y"/>
    <s v="No"/>
    <n v="12"/>
    <n v="3"/>
    <n v="3"/>
    <n v="80"/>
    <n v="1"/>
    <n v="11"/>
    <n v="4"/>
    <n v="2"/>
    <n v="1"/>
    <n v="0"/>
    <n v="0"/>
    <n v="0"/>
    <x v="0"/>
    <x v="0"/>
  </r>
  <r>
    <n v="30"/>
    <s v="No"/>
    <s v="Non-Travel"/>
    <n v="990"/>
    <s v="Research &amp; Development"/>
    <n v="7"/>
    <n v="3"/>
    <s v="Technical Degree"/>
    <n v="1"/>
    <n v="1482"/>
    <n v="3"/>
    <s v="Male"/>
    <n v="64"/>
    <n v="3"/>
    <x v="1"/>
    <s v="Research Scientist"/>
    <n v="3"/>
    <s v="Divorced"/>
    <x v="986"/>
    <n v="7152"/>
    <n v="1"/>
    <s v="Y"/>
    <s v="No"/>
    <n v="13"/>
    <n v="3"/>
    <n v="2"/>
    <n v="80"/>
    <n v="2"/>
    <n v="1"/>
    <n v="2"/>
    <n v="2"/>
    <n v="1"/>
    <n v="0"/>
    <n v="0"/>
    <n v="0"/>
    <x v="2"/>
    <x v="1"/>
  </r>
  <r>
    <n v="57"/>
    <s v="No"/>
    <s v="Travel_Rarely"/>
    <n v="405"/>
    <s v="Research &amp; Development"/>
    <n v="1"/>
    <n v="2"/>
    <s v="Life Sciences"/>
    <n v="1"/>
    <n v="1483"/>
    <n v="2"/>
    <s v="Male"/>
    <n v="93"/>
    <n v="4"/>
    <x v="0"/>
    <s v="Research Scientist"/>
    <n v="3"/>
    <s v="Married"/>
    <x v="987"/>
    <n v="2721"/>
    <n v="0"/>
    <s v="Y"/>
    <s v="No"/>
    <n v="24"/>
    <n v="4"/>
    <n v="1"/>
    <n v="80"/>
    <n v="1"/>
    <n v="13"/>
    <n v="2"/>
    <n v="2"/>
    <n v="12"/>
    <n v="9"/>
    <n v="2"/>
    <n v="8"/>
    <x v="3"/>
    <x v="0"/>
  </r>
  <r>
    <n v="49"/>
    <s v="No"/>
    <s v="Travel_Rarely"/>
    <n v="1490"/>
    <s v="Research &amp; Development"/>
    <n v="7"/>
    <n v="4"/>
    <s v="Life Sciences"/>
    <n v="1"/>
    <n v="1484"/>
    <n v="3"/>
    <s v="Male"/>
    <n v="35"/>
    <n v="3"/>
    <x v="2"/>
    <s v="Healthcare Representative"/>
    <n v="2"/>
    <s v="Divorced"/>
    <x v="988"/>
    <n v="20948"/>
    <n v="3"/>
    <s v="Y"/>
    <s v="No"/>
    <n v="14"/>
    <n v="3"/>
    <n v="2"/>
    <n v="80"/>
    <n v="2"/>
    <n v="29"/>
    <n v="3"/>
    <n v="3"/>
    <n v="8"/>
    <n v="7"/>
    <n v="0"/>
    <n v="7"/>
    <x v="1"/>
    <x v="2"/>
  </r>
  <r>
    <n v="34"/>
    <s v="No"/>
    <s v="Travel_Frequently"/>
    <n v="829"/>
    <s v="Research &amp; Development"/>
    <n v="15"/>
    <n v="3"/>
    <s v="Medical"/>
    <n v="1"/>
    <n v="1485"/>
    <n v="2"/>
    <s v="Male"/>
    <n v="71"/>
    <n v="3"/>
    <x v="3"/>
    <s v="Research Director"/>
    <n v="1"/>
    <s v="Divorced"/>
    <x v="989"/>
    <n v="11929"/>
    <n v="7"/>
    <s v="Y"/>
    <s v="No"/>
    <n v="14"/>
    <n v="3"/>
    <n v="4"/>
    <n v="80"/>
    <n v="2"/>
    <n v="16"/>
    <n v="3"/>
    <n v="2"/>
    <n v="14"/>
    <n v="8"/>
    <n v="6"/>
    <n v="9"/>
    <x v="2"/>
    <x v="3"/>
  </r>
  <r>
    <n v="28"/>
    <s v="Yes"/>
    <s v="Travel_Frequently"/>
    <n v="1496"/>
    <s v="Sales"/>
    <n v="1"/>
    <n v="3"/>
    <s v="Technical Degree"/>
    <n v="1"/>
    <n v="1486"/>
    <n v="1"/>
    <s v="Male"/>
    <n v="92"/>
    <n v="3"/>
    <x v="1"/>
    <s v="Sales Representative"/>
    <n v="3"/>
    <s v="Married"/>
    <x v="3"/>
    <n v="15747"/>
    <n v="3"/>
    <s v="Y"/>
    <s v="No"/>
    <n v="15"/>
    <n v="3"/>
    <n v="4"/>
    <n v="80"/>
    <n v="1"/>
    <n v="5"/>
    <n v="3"/>
    <n v="4"/>
    <n v="3"/>
    <n v="2"/>
    <n v="1"/>
    <n v="2"/>
    <x v="2"/>
    <x v="1"/>
  </r>
  <r>
    <n v="29"/>
    <s v="Yes"/>
    <s v="Travel_Frequently"/>
    <n v="115"/>
    <s v="Sales"/>
    <n v="13"/>
    <n v="3"/>
    <s v="Technical Degree"/>
    <n v="1"/>
    <n v="1487"/>
    <n v="1"/>
    <s v="Female"/>
    <n v="51"/>
    <n v="3"/>
    <x v="0"/>
    <s v="Sales Executive"/>
    <n v="2"/>
    <s v="Single"/>
    <x v="990"/>
    <n v="17485"/>
    <n v="5"/>
    <s v="Y"/>
    <s v="No"/>
    <n v="11"/>
    <n v="3"/>
    <n v="1"/>
    <n v="80"/>
    <n v="0"/>
    <n v="7"/>
    <n v="4"/>
    <n v="1"/>
    <n v="5"/>
    <n v="3"/>
    <n v="0"/>
    <n v="0"/>
    <x v="2"/>
    <x v="0"/>
  </r>
  <r>
    <n v="34"/>
    <s v="Yes"/>
    <s v="Travel_Rarely"/>
    <n v="790"/>
    <s v="Sales"/>
    <n v="24"/>
    <n v="4"/>
    <s v="Medical"/>
    <n v="1"/>
    <n v="1489"/>
    <n v="1"/>
    <s v="Female"/>
    <n v="40"/>
    <n v="2"/>
    <x v="0"/>
    <s v="Sales Executive"/>
    <n v="2"/>
    <s v="Single"/>
    <x v="991"/>
    <n v="7815"/>
    <n v="0"/>
    <s v="Y"/>
    <s v="Yes"/>
    <n v="23"/>
    <n v="4"/>
    <n v="3"/>
    <n v="80"/>
    <n v="0"/>
    <n v="16"/>
    <n v="2"/>
    <n v="4"/>
    <n v="15"/>
    <n v="9"/>
    <n v="10"/>
    <n v="10"/>
    <x v="2"/>
    <x v="0"/>
  </r>
  <r>
    <n v="35"/>
    <s v="No"/>
    <s v="Travel_Rarely"/>
    <n v="660"/>
    <s v="Sales"/>
    <n v="7"/>
    <n v="1"/>
    <s v="Life Sciences"/>
    <n v="1"/>
    <n v="1492"/>
    <n v="4"/>
    <s v="Male"/>
    <n v="76"/>
    <n v="3"/>
    <x v="1"/>
    <s v="Sales Representative"/>
    <n v="3"/>
    <s v="Married"/>
    <x v="639"/>
    <n v="16192"/>
    <n v="1"/>
    <s v="Y"/>
    <s v="No"/>
    <n v="13"/>
    <n v="3"/>
    <n v="1"/>
    <n v="80"/>
    <n v="1"/>
    <n v="1"/>
    <n v="3"/>
    <n v="3"/>
    <n v="1"/>
    <n v="0"/>
    <n v="0"/>
    <n v="0"/>
    <x v="2"/>
    <x v="1"/>
  </r>
  <r>
    <n v="24"/>
    <s v="Yes"/>
    <s v="Travel_Frequently"/>
    <n v="381"/>
    <s v="Research &amp; Development"/>
    <n v="9"/>
    <n v="3"/>
    <s v="Medical"/>
    <n v="1"/>
    <n v="1494"/>
    <n v="2"/>
    <s v="Male"/>
    <n v="89"/>
    <n v="3"/>
    <x v="1"/>
    <s v="Laboratory Technician"/>
    <n v="1"/>
    <s v="Single"/>
    <x v="992"/>
    <n v="16998"/>
    <n v="2"/>
    <s v="Y"/>
    <s v="Yes"/>
    <n v="11"/>
    <n v="3"/>
    <n v="3"/>
    <n v="80"/>
    <n v="0"/>
    <n v="4"/>
    <n v="2"/>
    <n v="2"/>
    <n v="0"/>
    <n v="0"/>
    <n v="0"/>
    <n v="0"/>
    <x v="4"/>
    <x v="0"/>
  </r>
  <r>
    <n v="24"/>
    <s v="No"/>
    <s v="Non-Travel"/>
    <n v="830"/>
    <s v="Sales"/>
    <n v="13"/>
    <n v="2"/>
    <s v="Life Sciences"/>
    <n v="1"/>
    <n v="1495"/>
    <n v="4"/>
    <s v="Female"/>
    <n v="78"/>
    <n v="3"/>
    <x v="1"/>
    <s v="Sales Representative"/>
    <n v="2"/>
    <s v="Married"/>
    <x v="462"/>
    <n v="7103"/>
    <n v="1"/>
    <s v="Y"/>
    <s v="No"/>
    <n v="13"/>
    <n v="3"/>
    <n v="3"/>
    <n v="80"/>
    <n v="1"/>
    <n v="1"/>
    <n v="2"/>
    <n v="3"/>
    <n v="1"/>
    <n v="0"/>
    <n v="0"/>
    <n v="0"/>
    <x v="4"/>
    <x v="1"/>
  </r>
  <r>
    <n v="44"/>
    <s v="No"/>
    <s v="Travel_Frequently"/>
    <n v="1193"/>
    <s v="Research &amp; Development"/>
    <n v="2"/>
    <n v="1"/>
    <s v="Medical"/>
    <n v="1"/>
    <n v="1496"/>
    <n v="2"/>
    <s v="Male"/>
    <n v="86"/>
    <n v="3"/>
    <x v="2"/>
    <s v="Manufacturing Director"/>
    <n v="3"/>
    <s v="Single"/>
    <x v="993"/>
    <n v="19719"/>
    <n v="5"/>
    <s v="Y"/>
    <s v="Yes"/>
    <n v="18"/>
    <n v="3"/>
    <n v="2"/>
    <n v="80"/>
    <n v="0"/>
    <n v="16"/>
    <n v="2"/>
    <n v="2"/>
    <n v="2"/>
    <n v="2"/>
    <n v="2"/>
    <n v="2"/>
    <x v="0"/>
    <x v="2"/>
  </r>
  <r>
    <n v="29"/>
    <s v="No"/>
    <s v="Travel_Rarely"/>
    <n v="1246"/>
    <s v="Sales"/>
    <n v="19"/>
    <n v="3"/>
    <s v="Life Sciences"/>
    <n v="1"/>
    <n v="1497"/>
    <n v="3"/>
    <s v="Male"/>
    <n v="77"/>
    <n v="2"/>
    <x v="0"/>
    <s v="Sales Executive"/>
    <n v="3"/>
    <s v="Divorced"/>
    <x v="994"/>
    <n v="23757"/>
    <n v="1"/>
    <s v="Y"/>
    <s v="No"/>
    <n v="14"/>
    <n v="3"/>
    <n v="3"/>
    <n v="80"/>
    <n v="2"/>
    <n v="10"/>
    <n v="3"/>
    <n v="3"/>
    <n v="10"/>
    <n v="7"/>
    <n v="0"/>
    <n v="4"/>
    <x v="2"/>
    <x v="2"/>
  </r>
  <r>
    <n v="30"/>
    <s v="No"/>
    <s v="Travel_Rarely"/>
    <n v="330"/>
    <s v="Human Resources"/>
    <n v="1"/>
    <n v="3"/>
    <s v="Life Sciences"/>
    <n v="1"/>
    <n v="1499"/>
    <n v="3"/>
    <s v="Male"/>
    <n v="46"/>
    <n v="3"/>
    <x v="1"/>
    <s v="Human Resources"/>
    <n v="3"/>
    <s v="Divorced"/>
    <x v="995"/>
    <n v="15428"/>
    <n v="0"/>
    <s v="Y"/>
    <s v="No"/>
    <n v="21"/>
    <n v="4"/>
    <n v="1"/>
    <n v="80"/>
    <n v="1"/>
    <n v="6"/>
    <n v="3"/>
    <n v="4"/>
    <n v="5"/>
    <n v="3"/>
    <n v="1"/>
    <n v="3"/>
    <x v="2"/>
    <x v="1"/>
  </r>
  <r>
    <n v="55"/>
    <s v="No"/>
    <s v="Travel_Rarely"/>
    <n v="1229"/>
    <s v="Research &amp; Development"/>
    <n v="4"/>
    <n v="4"/>
    <s v="Life Sciences"/>
    <n v="1"/>
    <n v="1501"/>
    <n v="4"/>
    <s v="Male"/>
    <n v="30"/>
    <n v="3"/>
    <x v="0"/>
    <s v="Healthcare Representative"/>
    <n v="3"/>
    <s v="Married"/>
    <x v="996"/>
    <n v="16143"/>
    <n v="0"/>
    <s v="Y"/>
    <s v="Yes"/>
    <n v="16"/>
    <n v="3"/>
    <n v="2"/>
    <n v="80"/>
    <n v="0"/>
    <n v="4"/>
    <n v="2"/>
    <n v="3"/>
    <n v="3"/>
    <n v="2"/>
    <n v="1"/>
    <n v="2"/>
    <x v="1"/>
    <x v="0"/>
  </r>
  <r>
    <n v="33"/>
    <s v="No"/>
    <s v="Travel_Rarely"/>
    <n v="1099"/>
    <s v="Research &amp; Development"/>
    <n v="4"/>
    <n v="4"/>
    <s v="Medical"/>
    <n v="1"/>
    <n v="1502"/>
    <n v="1"/>
    <s v="Female"/>
    <n v="82"/>
    <n v="2"/>
    <x v="1"/>
    <s v="Laboratory Technician"/>
    <n v="2"/>
    <s v="Married"/>
    <x v="997"/>
    <n v="8192"/>
    <n v="8"/>
    <s v="Y"/>
    <s v="No"/>
    <n v="11"/>
    <n v="3"/>
    <n v="4"/>
    <n v="80"/>
    <n v="0"/>
    <n v="8"/>
    <n v="5"/>
    <n v="3"/>
    <n v="5"/>
    <n v="4"/>
    <n v="0"/>
    <n v="2"/>
    <x v="2"/>
    <x v="0"/>
  </r>
  <r>
    <n v="47"/>
    <s v="No"/>
    <s v="Travel_Rarely"/>
    <n v="571"/>
    <s v="Sales"/>
    <n v="14"/>
    <n v="3"/>
    <s v="Medical"/>
    <n v="1"/>
    <n v="1503"/>
    <n v="3"/>
    <s v="Female"/>
    <n v="78"/>
    <n v="3"/>
    <x v="0"/>
    <s v="Sales Executive"/>
    <n v="3"/>
    <s v="Married"/>
    <x v="998"/>
    <n v="24200"/>
    <n v="3"/>
    <s v="Y"/>
    <s v="Yes"/>
    <n v="17"/>
    <n v="3"/>
    <n v="3"/>
    <n v="80"/>
    <n v="1"/>
    <n v="11"/>
    <n v="4"/>
    <n v="2"/>
    <n v="5"/>
    <n v="4"/>
    <n v="1"/>
    <n v="2"/>
    <x v="1"/>
    <x v="0"/>
  </r>
  <r>
    <n v="28"/>
    <s v="Yes"/>
    <s v="Travel_Frequently"/>
    <n v="289"/>
    <s v="Research &amp; Development"/>
    <n v="2"/>
    <n v="2"/>
    <s v="Medical"/>
    <n v="1"/>
    <n v="1504"/>
    <n v="3"/>
    <s v="Male"/>
    <n v="38"/>
    <n v="2"/>
    <x v="1"/>
    <s v="Laboratory Technician"/>
    <n v="1"/>
    <s v="Single"/>
    <x v="999"/>
    <n v="5355"/>
    <n v="7"/>
    <s v="Y"/>
    <s v="No"/>
    <n v="11"/>
    <n v="3"/>
    <n v="3"/>
    <n v="80"/>
    <n v="0"/>
    <n v="8"/>
    <n v="2"/>
    <n v="2"/>
    <n v="0"/>
    <n v="0"/>
    <n v="0"/>
    <n v="0"/>
    <x v="2"/>
    <x v="1"/>
  </r>
  <r>
    <n v="28"/>
    <s v="No"/>
    <s v="Travel_Rarely"/>
    <n v="1423"/>
    <s v="Research &amp; Development"/>
    <n v="1"/>
    <n v="3"/>
    <s v="Life Sciences"/>
    <n v="1"/>
    <n v="1506"/>
    <n v="1"/>
    <s v="Male"/>
    <n v="72"/>
    <n v="2"/>
    <x v="1"/>
    <s v="Research Scientist"/>
    <n v="3"/>
    <s v="Divorced"/>
    <x v="1000"/>
    <n v="12530"/>
    <n v="1"/>
    <s v="Y"/>
    <s v="No"/>
    <n v="14"/>
    <n v="3"/>
    <n v="4"/>
    <n v="80"/>
    <n v="1"/>
    <n v="1"/>
    <n v="2"/>
    <n v="1"/>
    <n v="1"/>
    <n v="0"/>
    <n v="0"/>
    <n v="0"/>
    <x v="2"/>
    <x v="1"/>
  </r>
  <r>
    <n v="28"/>
    <s v="No"/>
    <s v="Travel_Frequently"/>
    <n v="467"/>
    <s v="Sales"/>
    <n v="7"/>
    <n v="3"/>
    <s v="Life Sciences"/>
    <n v="1"/>
    <n v="1507"/>
    <n v="3"/>
    <s v="Male"/>
    <n v="55"/>
    <n v="3"/>
    <x v="0"/>
    <s v="Sales Executive"/>
    <n v="1"/>
    <s v="Single"/>
    <x v="249"/>
    <n v="11827"/>
    <n v="0"/>
    <s v="Y"/>
    <s v="No"/>
    <n v="14"/>
    <n v="3"/>
    <n v="4"/>
    <n v="80"/>
    <n v="0"/>
    <n v="5"/>
    <n v="5"/>
    <n v="3"/>
    <n v="4"/>
    <n v="2"/>
    <n v="1"/>
    <n v="3"/>
    <x v="2"/>
    <x v="0"/>
  </r>
  <r>
    <n v="49"/>
    <s v="No"/>
    <s v="Travel_Rarely"/>
    <n v="271"/>
    <s v="Research &amp; Development"/>
    <n v="3"/>
    <n v="2"/>
    <s v="Medical"/>
    <n v="1"/>
    <n v="1509"/>
    <n v="3"/>
    <s v="Female"/>
    <n v="43"/>
    <n v="2"/>
    <x v="0"/>
    <s v="Laboratory Technician"/>
    <n v="1"/>
    <s v="Married"/>
    <x v="1001"/>
    <n v="23070"/>
    <n v="4"/>
    <s v="Y"/>
    <s v="No"/>
    <n v="25"/>
    <n v="4"/>
    <n v="1"/>
    <n v="80"/>
    <n v="1"/>
    <n v="10"/>
    <n v="3"/>
    <n v="3"/>
    <n v="3"/>
    <n v="2"/>
    <n v="1"/>
    <n v="2"/>
    <x v="1"/>
    <x v="0"/>
  </r>
  <r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x v="1"/>
    <s v="Laboratory Technician"/>
    <n v="2"/>
    <s v="Married"/>
    <x v="1002"/>
    <n v="4668"/>
    <n v="0"/>
    <s v="Y"/>
    <s v="No"/>
    <n v="13"/>
    <n v="3"/>
    <n v="3"/>
    <n v="80"/>
    <n v="3"/>
    <n v="4"/>
    <n v="3"/>
    <n v="3"/>
    <n v="3"/>
    <n v="2"/>
    <n v="0"/>
    <n v="2"/>
    <x v="2"/>
    <x v="0"/>
  </r>
  <r>
    <n v="28"/>
    <s v="No"/>
    <s v="Travel_Rarely"/>
    <n v="1083"/>
    <s v="Research &amp; Development"/>
    <n v="29"/>
    <n v="1"/>
    <s v="Life Sciences"/>
    <n v="1"/>
    <n v="1514"/>
    <n v="3"/>
    <s v="Male"/>
    <n v="96"/>
    <n v="1"/>
    <x v="0"/>
    <s v="Manufacturing Director"/>
    <n v="2"/>
    <s v="Married"/>
    <x v="1003"/>
    <n v="3173"/>
    <n v="1"/>
    <s v="Y"/>
    <s v="No"/>
    <n v="14"/>
    <n v="3"/>
    <n v="2"/>
    <n v="80"/>
    <n v="2"/>
    <n v="8"/>
    <n v="2"/>
    <n v="2"/>
    <n v="8"/>
    <n v="6"/>
    <n v="1"/>
    <n v="7"/>
    <x v="2"/>
    <x v="0"/>
  </r>
  <r>
    <n v="33"/>
    <s v="No"/>
    <s v="Travel_Rarely"/>
    <n v="516"/>
    <s v="Research &amp; Development"/>
    <n v="8"/>
    <n v="5"/>
    <s v="Life Sciences"/>
    <n v="1"/>
    <n v="1515"/>
    <n v="4"/>
    <s v="Male"/>
    <n v="69"/>
    <n v="3"/>
    <x v="0"/>
    <s v="Healthcare Representative"/>
    <n v="3"/>
    <s v="Single"/>
    <x v="1004"/>
    <n v="22049"/>
    <n v="2"/>
    <s v="Y"/>
    <s v="Yes"/>
    <n v="17"/>
    <n v="3"/>
    <n v="1"/>
    <n v="80"/>
    <n v="0"/>
    <n v="14"/>
    <n v="6"/>
    <n v="3"/>
    <n v="0"/>
    <n v="0"/>
    <n v="0"/>
    <n v="0"/>
    <x v="2"/>
    <x v="0"/>
  </r>
  <r>
    <n v="32"/>
    <s v="No"/>
    <s v="Travel_Rarely"/>
    <n v="495"/>
    <s v="Research &amp; Development"/>
    <n v="10"/>
    <n v="3"/>
    <s v="Medical"/>
    <n v="1"/>
    <n v="1516"/>
    <n v="3"/>
    <s v="Male"/>
    <n v="64"/>
    <n v="3"/>
    <x v="2"/>
    <s v="Manager"/>
    <n v="4"/>
    <s v="Single"/>
    <x v="1005"/>
    <n v="21072"/>
    <n v="2"/>
    <s v="Y"/>
    <s v="No"/>
    <n v="25"/>
    <n v="4"/>
    <n v="2"/>
    <n v="80"/>
    <n v="0"/>
    <n v="10"/>
    <n v="5"/>
    <n v="4"/>
    <n v="5"/>
    <n v="2"/>
    <n v="0"/>
    <n v="0"/>
    <x v="2"/>
    <x v="2"/>
  </r>
  <r>
    <n v="54"/>
    <s v="No"/>
    <s v="Travel_Frequently"/>
    <n v="1050"/>
    <s v="Research &amp; Development"/>
    <n v="11"/>
    <n v="4"/>
    <s v="Medical"/>
    <n v="1"/>
    <n v="1520"/>
    <n v="2"/>
    <s v="Female"/>
    <n v="87"/>
    <n v="3"/>
    <x v="3"/>
    <s v="Manager"/>
    <n v="4"/>
    <s v="Divorced"/>
    <x v="1006"/>
    <n v="24456"/>
    <n v="3"/>
    <s v="Y"/>
    <s v="No"/>
    <n v="20"/>
    <n v="4"/>
    <n v="1"/>
    <n v="80"/>
    <n v="1"/>
    <n v="26"/>
    <n v="2"/>
    <n v="3"/>
    <n v="14"/>
    <n v="9"/>
    <n v="1"/>
    <n v="12"/>
    <x v="1"/>
    <x v="3"/>
  </r>
  <r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x v="1"/>
    <s v="Research Scientist"/>
    <n v="1"/>
    <s v="Single"/>
    <x v="898"/>
    <n v="7568"/>
    <n v="6"/>
    <s v="Y"/>
    <s v="No"/>
    <n v="13"/>
    <n v="3"/>
    <n v="3"/>
    <n v="80"/>
    <n v="0"/>
    <n v="11"/>
    <n v="2"/>
    <n v="1"/>
    <n v="9"/>
    <n v="7"/>
    <n v="0"/>
    <n v="7"/>
    <x v="2"/>
    <x v="1"/>
  </r>
  <r>
    <n v="44"/>
    <s v="No"/>
    <s v="Travel_Rarely"/>
    <n v="136"/>
    <s v="Research &amp; Development"/>
    <n v="28"/>
    <n v="3"/>
    <s v="Life Sciences"/>
    <n v="1"/>
    <n v="1523"/>
    <n v="4"/>
    <s v="Male"/>
    <n v="32"/>
    <n v="3"/>
    <x v="3"/>
    <s v="Research Director"/>
    <n v="1"/>
    <s v="Married"/>
    <x v="1007"/>
    <n v="22074"/>
    <n v="3"/>
    <s v="Y"/>
    <s v="No"/>
    <n v="13"/>
    <n v="3"/>
    <n v="3"/>
    <n v="80"/>
    <n v="1"/>
    <n v="24"/>
    <n v="1"/>
    <n v="4"/>
    <n v="20"/>
    <n v="6"/>
    <n v="14"/>
    <n v="17"/>
    <x v="0"/>
    <x v="3"/>
  </r>
  <r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x v="2"/>
    <s v="Manufacturing Director"/>
    <n v="2"/>
    <s v="Single"/>
    <x v="1008"/>
    <n v="9150"/>
    <n v="4"/>
    <s v="Y"/>
    <s v="No"/>
    <n v="18"/>
    <n v="3"/>
    <n v="4"/>
    <n v="80"/>
    <n v="0"/>
    <n v="9"/>
    <n v="3"/>
    <n v="3"/>
    <n v="2"/>
    <n v="0"/>
    <n v="2"/>
    <n v="2"/>
    <x v="0"/>
    <x v="2"/>
  </r>
  <r>
    <n v="46"/>
    <s v="No"/>
    <s v="Travel_Rarely"/>
    <n v="228"/>
    <s v="Sales"/>
    <n v="3"/>
    <n v="3"/>
    <s v="Life Sciences"/>
    <n v="1"/>
    <n v="1527"/>
    <n v="3"/>
    <s v="Female"/>
    <n v="51"/>
    <n v="3"/>
    <x v="3"/>
    <s v="Manager"/>
    <n v="2"/>
    <s v="Married"/>
    <x v="1009"/>
    <n v="11380"/>
    <n v="8"/>
    <s v="Y"/>
    <s v="No"/>
    <n v="12"/>
    <n v="3"/>
    <n v="4"/>
    <n v="80"/>
    <n v="1"/>
    <n v="23"/>
    <n v="2"/>
    <n v="4"/>
    <n v="13"/>
    <n v="12"/>
    <n v="5"/>
    <n v="1"/>
    <x v="1"/>
    <x v="3"/>
  </r>
  <r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x v="2"/>
    <s v="Healthcare Representative"/>
    <n v="2"/>
    <s v="Single"/>
    <x v="1010"/>
    <n v="21195"/>
    <n v="1"/>
    <s v="Y"/>
    <s v="No"/>
    <n v="19"/>
    <n v="3"/>
    <n v="4"/>
    <n v="80"/>
    <n v="0"/>
    <n v="11"/>
    <n v="3"/>
    <n v="1"/>
    <n v="11"/>
    <n v="8"/>
    <n v="3"/>
    <n v="3"/>
    <x v="2"/>
    <x v="2"/>
  </r>
  <r>
    <n v="23"/>
    <s v="No"/>
    <s v="Travel_Rarely"/>
    <n v="507"/>
    <s v="Research &amp; Development"/>
    <n v="20"/>
    <n v="1"/>
    <s v="Life Sciences"/>
    <n v="1"/>
    <n v="1533"/>
    <n v="1"/>
    <s v="Male"/>
    <n v="97"/>
    <n v="3"/>
    <x v="0"/>
    <s v="Laboratory Technician"/>
    <n v="3"/>
    <s v="Single"/>
    <x v="1011"/>
    <n v="24812"/>
    <n v="0"/>
    <s v="Y"/>
    <s v="No"/>
    <n v="14"/>
    <n v="3"/>
    <n v="2"/>
    <n v="80"/>
    <n v="0"/>
    <n v="5"/>
    <n v="2"/>
    <n v="3"/>
    <n v="4"/>
    <n v="3"/>
    <n v="1"/>
    <n v="2"/>
    <x v="4"/>
    <x v="1"/>
  </r>
  <r>
    <n v="40"/>
    <s v="Yes"/>
    <s v="Travel_Rarely"/>
    <n v="676"/>
    <s v="Research &amp; Development"/>
    <n v="9"/>
    <n v="4"/>
    <s v="Life Sciences"/>
    <n v="1"/>
    <n v="1534"/>
    <n v="4"/>
    <s v="Male"/>
    <n v="86"/>
    <n v="3"/>
    <x v="1"/>
    <s v="Laboratory Technician"/>
    <n v="1"/>
    <s v="Single"/>
    <x v="1012"/>
    <n v="21831"/>
    <n v="3"/>
    <s v="Y"/>
    <s v="No"/>
    <n v="14"/>
    <n v="3"/>
    <n v="2"/>
    <n v="80"/>
    <n v="0"/>
    <n v="15"/>
    <n v="3"/>
    <n v="1"/>
    <n v="5"/>
    <n v="4"/>
    <n v="1"/>
    <n v="0"/>
    <x v="0"/>
    <x v="1"/>
  </r>
  <r>
    <n v="34"/>
    <s v="No"/>
    <s v="Travel_Rarely"/>
    <n v="971"/>
    <s v="Sales"/>
    <n v="1"/>
    <n v="3"/>
    <s v="Technical Degree"/>
    <n v="1"/>
    <n v="1535"/>
    <n v="4"/>
    <s v="Male"/>
    <n v="64"/>
    <n v="2"/>
    <x v="2"/>
    <s v="Sales Executive"/>
    <n v="3"/>
    <s v="Married"/>
    <x v="1013"/>
    <n v="12288"/>
    <n v="1"/>
    <s v="Y"/>
    <s v="Yes"/>
    <n v="14"/>
    <n v="3"/>
    <n v="4"/>
    <n v="80"/>
    <n v="0"/>
    <n v="10"/>
    <n v="3"/>
    <n v="3"/>
    <n v="10"/>
    <n v="9"/>
    <n v="8"/>
    <n v="6"/>
    <x v="2"/>
    <x v="2"/>
  </r>
  <r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x v="1"/>
    <s v="Research Scientist"/>
    <n v="3"/>
    <s v="Single"/>
    <x v="1014"/>
    <n v="4156"/>
    <n v="1"/>
    <s v="Y"/>
    <s v="No"/>
    <n v="12"/>
    <n v="3"/>
    <n v="1"/>
    <n v="80"/>
    <n v="0"/>
    <n v="7"/>
    <n v="2"/>
    <n v="1"/>
    <n v="7"/>
    <n v="2"/>
    <n v="7"/>
    <n v="7"/>
    <x v="2"/>
    <x v="0"/>
  </r>
  <r>
    <n v="50"/>
    <s v="No"/>
    <s v="Travel_Frequently"/>
    <n v="333"/>
    <s v="Research &amp; Development"/>
    <n v="22"/>
    <n v="5"/>
    <s v="Medical"/>
    <n v="1"/>
    <n v="1539"/>
    <n v="3"/>
    <s v="Male"/>
    <n v="88"/>
    <n v="1"/>
    <x v="3"/>
    <s v="Research Director"/>
    <n v="4"/>
    <s v="Single"/>
    <x v="1015"/>
    <n v="24450"/>
    <n v="1"/>
    <s v="Y"/>
    <s v="Yes"/>
    <n v="13"/>
    <n v="3"/>
    <n v="4"/>
    <n v="80"/>
    <n v="0"/>
    <n v="32"/>
    <n v="2"/>
    <n v="3"/>
    <n v="32"/>
    <n v="6"/>
    <n v="13"/>
    <n v="9"/>
    <x v="1"/>
    <x v="3"/>
  </r>
  <r>
    <n v="34"/>
    <s v="No"/>
    <s v="Travel_Rarely"/>
    <n v="1440"/>
    <s v="Sales"/>
    <n v="7"/>
    <n v="2"/>
    <s v="Technical Degree"/>
    <n v="1"/>
    <n v="1541"/>
    <n v="2"/>
    <s v="Male"/>
    <n v="55"/>
    <n v="3"/>
    <x v="1"/>
    <s v="Sales Representative"/>
    <n v="3"/>
    <s v="Married"/>
    <x v="1016"/>
    <n v="4944"/>
    <n v="0"/>
    <s v="Y"/>
    <s v="Yes"/>
    <n v="25"/>
    <n v="4"/>
    <n v="2"/>
    <n v="80"/>
    <n v="1"/>
    <n v="12"/>
    <n v="4"/>
    <n v="3"/>
    <n v="11"/>
    <n v="10"/>
    <n v="5"/>
    <n v="7"/>
    <x v="2"/>
    <x v="1"/>
  </r>
  <r>
    <n v="42"/>
    <s v="No"/>
    <s v="Travel_Rarely"/>
    <n v="1210"/>
    <s v="Research &amp; Development"/>
    <n v="2"/>
    <n v="3"/>
    <s v="Medical"/>
    <n v="1"/>
    <n v="1542"/>
    <n v="3"/>
    <s v="Male"/>
    <n v="68"/>
    <n v="2"/>
    <x v="1"/>
    <s v="Laboratory Technician"/>
    <n v="2"/>
    <s v="Married"/>
    <x v="1017"/>
    <n v="24052"/>
    <n v="4"/>
    <s v="Y"/>
    <s v="No"/>
    <n v="14"/>
    <n v="3"/>
    <n v="2"/>
    <n v="80"/>
    <n v="1"/>
    <n v="4"/>
    <n v="3"/>
    <n v="3"/>
    <n v="1"/>
    <n v="0"/>
    <n v="0"/>
    <n v="0"/>
    <x v="0"/>
    <x v="0"/>
  </r>
  <r>
    <n v="37"/>
    <s v="No"/>
    <s v="Travel_Rarely"/>
    <n v="674"/>
    <s v="Research &amp; Development"/>
    <n v="13"/>
    <n v="3"/>
    <s v="Medical"/>
    <n v="1"/>
    <n v="1543"/>
    <n v="1"/>
    <s v="Male"/>
    <n v="47"/>
    <n v="3"/>
    <x v="0"/>
    <s v="Research Scientist"/>
    <n v="4"/>
    <s v="Married"/>
    <x v="1018"/>
    <n v="3031"/>
    <n v="1"/>
    <s v="Y"/>
    <s v="No"/>
    <n v="17"/>
    <n v="3"/>
    <n v="1"/>
    <n v="80"/>
    <n v="0"/>
    <n v="10"/>
    <n v="2"/>
    <n v="3"/>
    <n v="10"/>
    <n v="8"/>
    <n v="3"/>
    <n v="7"/>
    <x v="0"/>
    <x v="0"/>
  </r>
  <r>
    <n v="29"/>
    <s v="No"/>
    <s v="Travel_Rarely"/>
    <n v="441"/>
    <s v="Research &amp; Development"/>
    <n v="8"/>
    <n v="1"/>
    <s v="Other"/>
    <n v="1"/>
    <n v="1544"/>
    <n v="3"/>
    <s v="Female"/>
    <n v="39"/>
    <n v="1"/>
    <x v="0"/>
    <s v="Healthcare Representative"/>
    <n v="1"/>
    <s v="Married"/>
    <x v="1019"/>
    <n v="7288"/>
    <n v="3"/>
    <s v="Y"/>
    <s v="No"/>
    <n v="13"/>
    <n v="3"/>
    <n v="3"/>
    <n v="80"/>
    <n v="1"/>
    <n v="9"/>
    <n v="3"/>
    <n v="3"/>
    <n v="7"/>
    <n v="7"/>
    <n v="0"/>
    <n v="7"/>
    <x v="2"/>
    <x v="2"/>
  </r>
  <r>
    <n v="33"/>
    <s v="No"/>
    <s v="Travel_Rarely"/>
    <n v="575"/>
    <s v="Research &amp; Development"/>
    <n v="25"/>
    <n v="3"/>
    <s v="Life Sciences"/>
    <n v="1"/>
    <n v="1545"/>
    <n v="4"/>
    <s v="Male"/>
    <n v="44"/>
    <n v="2"/>
    <x v="0"/>
    <s v="Manufacturing Director"/>
    <n v="2"/>
    <s v="Single"/>
    <x v="1020"/>
    <n v="24152"/>
    <n v="1"/>
    <s v="Y"/>
    <s v="No"/>
    <n v="13"/>
    <n v="3"/>
    <n v="4"/>
    <n v="80"/>
    <n v="0"/>
    <n v="5"/>
    <n v="2"/>
    <n v="3"/>
    <n v="5"/>
    <n v="3"/>
    <n v="0"/>
    <n v="2"/>
    <x v="2"/>
    <x v="0"/>
  </r>
  <r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x v="1"/>
    <s v="Research Scientist"/>
    <n v="4"/>
    <s v="Married"/>
    <x v="685"/>
    <n v="4585"/>
    <n v="4"/>
    <s v="Y"/>
    <s v="No"/>
    <n v="20"/>
    <n v="4"/>
    <n v="4"/>
    <n v="80"/>
    <n v="1"/>
    <n v="8"/>
    <n v="3"/>
    <n v="3"/>
    <n v="5"/>
    <n v="4"/>
    <n v="0"/>
    <n v="3"/>
    <x v="0"/>
    <x v="1"/>
  </r>
  <r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x v="2"/>
    <s v="Healthcare Representative"/>
    <n v="4"/>
    <s v="Married"/>
    <x v="1021"/>
    <n v="18611"/>
    <n v="2"/>
    <s v="Y"/>
    <s v="Yes"/>
    <n v="14"/>
    <n v="3"/>
    <n v="3"/>
    <n v="80"/>
    <n v="1"/>
    <n v="24"/>
    <n v="3"/>
    <n v="1"/>
    <n v="20"/>
    <n v="8"/>
    <n v="13"/>
    <n v="9"/>
    <x v="0"/>
    <x v="2"/>
  </r>
  <r>
    <n v="40"/>
    <s v="No"/>
    <s v="Travel_Rarely"/>
    <n v="1342"/>
    <s v="Sales"/>
    <n v="9"/>
    <n v="2"/>
    <s v="Medical"/>
    <n v="1"/>
    <n v="1548"/>
    <n v="1"/>
    <s v="Male"/>
    <n v="47"/>
    <n v="3"/>
    <x v="0"/>
    <s v="Sales Executive"/>
    <n v="1"/>
    <s v="Married"/>
    <x v="67"/>
    <n v="19345"/>
    <n v="0"/>
    <s v="Y"/>
    <s v="No"/>
    <n v="12"/>
    <n v="3"/>
    <n v="4"/>
    <n v="80"/>
    <n v="0"/>
    <n v="9"/>
    <n v="5"/>
    <n v="4"/>
    <n v="8"/>
    <n v="4"/>
    <n v="7"/>
    <n v="1"/>
    <x v="0"/>
    <x v="0"/>
  </r>
  <r>
    <n v="33"/>
    <s v="No"/>
    <s v="Travel_Rarely"/>
    <n v="589"/>
    <s v="Research &amp; Development"/>
    <n v="28"/>
    <n v="4"/>
    <s v="Life Sciences"/>
    <n v="1"/>
    <n v="1549"/>
    <n v="2"/>
    <s v="Male"/>
    <n v="79"/>
    <n v="3"/>
    <x v="0"/>
    <s v="Laboratory Technician"/>
    <n v="3"/>
    <s v="Married"/>
    <x v="1022"/>
    <n v="22949"/>
    <n v="1"/>
    <s v="Y"/>
    <s v="Yes"/>
    <n v="12"/>
    <n v="3"/>
    <n v="2"/>
    <n v="80"/>
    <n v="1"/>
    <n v="15"/>
    <n v="3"/>
    <n v="3"/>
    <n v="15"/>
    <n v="14"/>
    <n v="5"/>
    <n v="7"/>
    <x v="2"/>
    <x v="0"/>
  </r>
  <r>
    <n v="40"/>
    <s v="No"/>
    <s v="Travel_Rarely"/>
    <n v="898"/>
    <s v="Human Resources"/>
    <n v="6"/>
    <n v="2"/>
    <s v="Medical"/>
    <n v="1"/>
    <n v="1550"/>
    <n v="3"/>
    <s v="Male"/>
    <n v="38"/>
    <n v="3"/>
    <x v="3"/>
    <s v="Manager"/>
    <n v="4"/>
    <s v="Single"/>
    <x v="1023"/>
    <n v="17381"/>
    <n v="1"/>
    <s v="Y"/>
    <s v="Yes"/>
    <n v="21"/>
    <n v="4"/>
    <n v="4"/>
    <n v="80"/>
    <n v="0"/>
    <n v="21"/>
    <n v="2"/>
    <n v="3"/>
    <n v="21"/>
    <n v="7"/>
    <n v="7"/>
    <n v="7"/>
    <x v="0"/>
    <x v="3"/>
  </r>
  <r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x v="1"/>
    <s v="Laboratory Technician"/>
    <n v="1"/>
    <s v="Divorced"/>
    <x v="1024"/>
    <n v="10036"/>
    <n v="0"/>
    <s v="Y"/>
    <s v="No"/>
    <n v="14"/>
    <n v="3"/>
    <n v="2"/>
    <n v="80"/>
    <n v="3"/>
    <n v="2"/>
    <n v="3"/>
    <n v="3"/>
    <n v="1"/>
    <n v="1"/>
    <n v="0"/>
    <n v="0"/>
    <x v="4"/>
    <x v="1"/>
  </r>
  <r>
    <n v="40"/>
    <s v="No"/>
    <s v="Non-Travel"/>
    <n v="1142"/>
    <s v="Research &amp; Development"/>
    <n v="8"/>
    <n v="2"/>
    <s v="Life Sciences"/>
    <n v="1"/>
    <n v="1552"/>
    <n v="4"/>
    <s v="Male"/>
    <n v="72"/>
    <n v="3"/>
    <x v="0"/>
    <s v="Healthcare Representative"/>
    <n v="4"/>
    <s v="Divorced"/>
    <x v="1025"/>
    <n v="8841"/>
    <n v="3"/>
    <s v="Y"/>
    <s v="Yes"/>
    <n v="18"/>
    <n v="3"/>
    <n v="3"/>
    <n v="80"/>
    <n v="0"/>
    <n v="8"/>
    <n v="2"/>
    <n v="3"/>
    <n v="2"/>
    <n v="2"/>
    <n v="2"/>
    <n v="2"/>
    <x v="0"/>
    <x v="0"/>
  </r>
  <r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x v="2"/>
    <s v="Healthcare Representative"/>
    <n v="2"/>
    <s v="Divorced"/>
    <x v="1026"/>
    <n v="20933"/>
    <n v="1"/>
    <s v="Y"/>
    <s v="No"/>
    <n v="12"/>
    <n v="3"/>
    <n v="1"/>
    <n v="80"/>
    <n v="3"/>
    <n v="10"/>
    <n v="4"/>
    <n v="3"/>
    <n v="10"/>
    <n v="8"/>
    <n v="7"/>
    <n v="7"/>
    <x v="0"/>
    <x v="2"/>
  </r>
  <r>
    <n v="35"/>
    <s v="No"/>
    <s v="Travel_Rarely"/>
    <n v="1402"/>
    <s v="Sales"/>
    <n v="28"/>
    <n v="4"/>
    <s v="Life Sciences"/>
    <n v="1"/>
    <n v="1554"/>
    <n v="2"/>
    <s v="Female"/>
    <n v="98"/>
    <n v="2"/>
    <x v="1"/>
    <s v="Sales Representative"/>
    <n v="3"/>
    <s v="Married"/>
    <x v="1027"/>
    <n v="26204"/>
    <n v="0"/>
    <s v="Y"/>
    <s v="No"/>
    <n v="23"/>
    <n v="4"/>
    <n v="1"/>
    <n v="80"/>
    <n v="2"/>
    <n v="6"/>
    <n v="5"/>
    <n v="3"/>
    <n v="5"/>
    <n v="3"/>
    <n v="4"/>
    <n v="2"/>
    <x v="2"/>
    <x v="1"/>
  </r>
  <r>
    <n v="32"/>
    <s v="No"/>
    <s v="Travel_Rarely"/>
    <n v="824"/>
    <s v="Research &amp; Development"/>
    <n v="5"/>
    <n v="2"/>
    <s v="Life Sciences"/>
    <n v="1"/>
    <n v="1555"/>
    <n v="4"/>
    <s v="Female"/>
    <n v="67"/>
    <n v="2"/>
    <x v="0"/>
    <s v="Research Scientist"/>
    <n v="2"/>
    <s v="Married"/>
    <x v="1028"/>
    <n v="15624"/>
    <n v="3"/>
    <s v="Y"/>
    <s v="No"/>
    <n v="12"/>
    <n v="3"/>
    <n v="1"/>
    <n v="80"/>
    <n v="1"/>
    <n v="12"/>
    <n v="2"/>
    <n v="3"/>
    <n v="7"/>
    <n v="1"/>
    <n v="2"/>
    <n v="5"/>
    <x v="2"/>
    <x v="0"/>
  </r>
  <r>
    <n v="36"/>
    <s v="No"/>
    <s v="Travel_Rarely"/>
    <n v="1157"/>
    <s v="Sales"/>
    <n v="2"/>
    <n v="4"/>
    <s v="Life Sciences"/>
    <n v="1"/>
    <n v="1556"/>
    <n v="3"/>
    <s v="Male"/>
    <n v="70"/>
    <n v="3"/>
    <x v="1"/>
    <s v="Sales Representative"/>
    <n v="4"/>
    <s v="Single"/>
    <x v="1029"/>
    <n v="17001"/>
    <n v="3"/>
    <s v="Y"/>
    <s v="Yes"/>
    <n v="21"/>
    <n v="4"/>
    <n v="4"/>
    <n v="80"/>
    <n v="0"/>
    <n v="7"/>
    <n v="3"/>
    <n v="2"/>
    <n v="3"/>
    <n v="2"/>
    <n v="1"/>
    <n v="2"/>
    <x v="0"/>
    <x v="1"/>
  </r>
  <r>
    <n v="48"/>
    <s v="No"/>
    <s v="Travel_Rarely"/>
    <n v="492"/>
    <s v="Sales"/>
    <n v="16"/>
    <n v="4"/>
    <s v="Life Sciences"/>
    <n v="1"/>
    <n v="1557"/>
    <n v="3"/>
    <s v="Female"/>
    <n v="96"/>
    <n v="3"/>
    <x v="0"/>
    <s v="Sales Executive"/>
    <n v="3"/>
    <s v="Divorced"/>
    <x v="1030"/>
    <n v="13693"/>
    <n v="8"/>
    <s v="Y"/>
    <s v="No"/>
    <n v="14"/>
    <n v="3"/>
    <n v="3"/>
    <n v="80"/>
    <n v="1"/>
    <n v="18"/>
    <n v="2"/>
    <n v="3"/>
    <n v="8"/>
    <n v="7"/>
    <n v="7"/>
    <n v="7"/>
    <x v="1"/>
    <x v="0"/>
  </r>
  <r>
    <n v="29"/>
    <s v="No"/>
    <s v="Travel_Rarely"/>
    <n v="598"/>
    <s v="Research &amp; Development"/>
    <n v="9"/>
    <n v="3"/>
    <s v="Life Sciences"/>
    <n v="1"/>
    <n v="1558"/>
    <n v="3"/>
    <s v="Male"/>
    <n v="91"/>
    <n v="4"/>
    <x v="1"/>
    <s v="Research Scientist"/>
    <n v="3"/>
    <s v="Married"/>
    <x v="163"/>
    <n v="22376"/>
    <n v="6"/>
    <s v="Y"/>
    <s v="No"/>
    <n v="18"/>
    <n v="3"/>
    <n v="1"/>
    <n v="80"/>
    <n v="2"/>
    <n v="5"/>
    <n v="2"/>
    <n v="2"/>
    <n v="1"/>
    <n v="0"/>
    <n v="0"/>
    <n v="0"/>
    <x v="2"/>
    <x v="1"/>
  </r>
  <r>
    <n v="33"/>
    <s v="No"/>
    <s v="Travel_Rarely"/>
    <n v="1242"/>
    <s v="Sales"/>
    <n v="8"/>
    <n v="4"/>
    <s v="Life Sciences"/>
    <n v="1"/>
    <n v="1560"/>
    <n v="1"/>
    <s v="Male"/>
    <n v="46"/>
    <n v="3"/>
    <x v="0"/>
    <s v="Sales Executive"/>
    <n v="1"/>
    <s v="Married"/>
    <x v="1031"/>
    <n v="10589"/>
    <n v="2"/>
    <s v="Y"/>
    <s v="No"/>
    <n v="13"/>
    <n v="3"/>
    <n v="4"/>
    <n v="80"/>
    <n v="1"/>
    <n v="8"/>
    <n v="6"/>
    <n v="1"/>
    <n v="2"/>
    <n v="2"/>
    <n v="2"/>
    <n v="2"/>
    <x v="2"/>
    <x v="0"/>
  </r>
  <r>
    <n v="30"/>
    <s v="Yes"/>
    <s v="Travel_Rarely"/>
    <n v="740"/>
    <s v="Sales"/>
    <n v="1"/>
    <n v="3"/>
    <s v="Life Sciences"/>
    <n v="1"/>
    <n v="1562"/>
    <n v="2"/>
    <s v="Male"/>
    <n v="64"/>
    <n v="2"/>
    <x v="0"/>
    <s v="Sales Executive"/>
    <n v="1"/>
    <s v="Married"/>
    <x v="1032"/>
    <n v="5323"/>
    <n v="1"/>
    <s v="Y"/>
    <s v="No"/>
    <n v="11"/>
    <n v="3"/>
    <n v="4"/>
    <n v="80"/>
    <n v="1"/>
    <n v="10"/>
    <n v="4"/>
    <n v="3"/>
    <n v="10"/>
    <n v="8"/>
    <n v="6"/>
    <n v="7"/>
    <x v="2"/>
    <x v="2"/>
  </r>
  <r>
    <n v="38"/>
    <s v="No"/>
    <s v="Travel_Frequently"/>
    <n v="888"/>
    <s v="Human Resources"/>
    <n v="10"/>
    <n v="4"/>
    <s v="Human Resources"/>
    <n v="1"/>
    <n v="1563"/>
    <n v="3"/>
    <s v="Male"/>
    <n v="71"/>
    <n v="3"/>
    <x v="0"/>
    <s v="Human Resources"/>
    <n v="3"/>
    <s v="Married"/>
    <x v="1033"/>
    <n v="14814"/>
    <n v="3"/>
    <s v="Y"/>
    <s v="No"/>
    <n v="11"/>
    <n v="3"/>
    <n v="3"/>
    <n v="80"/>
    <n v="0"/>
    <n v="10"/>
    <n v="2"/>
    <n v="3"/>
    <n v="6"/>
    <n v="3"/>
    <n v="1"/>
    <n v="2"/>
    <x v="0"/>
    <x v="0"/>
  </r>
  <r>
    <n v="35"/>
    <s v="No"/>
    <s v="Travel_Rarely"/>
    <n v="992"/>
    <s v="Research &amp; Development"/>
    <n v="1"/>
    <n v="3"/>
    <s v="Medical"/>
    <n v="1"/>
    <n v="1564"/>
    <n v="4"/>
    <s v="Male"/>
    <n v="68"/>
    <n v="2"/>
    <x v="1"/>
    <s v="Laboratory Technician"/>
    <n v="1"/>
    <s v="Single"/>
    <x v="533"/>
    <n v="21731"/>
    <n v="1"/>
    <s v="Y"/>
    <s v="No"/>
    <n v="19"/>
    <n v="3"/>
    <n v="2"/>
    <n v="80"/>
    <n v="0"/>
    <n v="3"/>
    <n v="3"/>
    <n v="3"/>
    <n v="3"/>
    <n v="0"/>
    <n v="1"/>
    <n v="2"/>
    <x v="2"/>
    <x v="1"/>
  </r>
  <r>
    <n v="30"/>
    <s v="No"/>
    <s v="Travel_Rarely"/>
    <n v="1288"/>
    <s v="Sales"/>
    <n v="29"/>
    <n v="4"/>
    <s v="Technical Degree"/>
    <n v="1"/>
    <n v="1568"/>
    <n v="3"/>
    <s v="Male"/>
    <n v="33"/>
    <n v="3"/>
    <x v="2"/>
    <s v="Sales Executive"/>
    <n v="2"/>
    <s v="Married"/>
    <x v="1034"/>
    <n v="17799"/>
    <n v="3"/>
    <s v="Y"/>
    <s v="No"/>
    <n v="12"/>
    <n v="3"/>
    <n v="2"/>
    <n v="80"/>
    <n v="1"/>
    <n v="9"/>
    <n v="3"/>
    <n v="3"/>
    <n v="4"/>
    <n v="2"/>
    <n v="1"/>
    <n v="3"/>
    <x v="2"/>
    <x v="2"/>
  </r>
  <r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x v="1"/>
    <s v="Laboratory Technician"/>
    <n v="1"/>
    <s v="Divorced"/>
    <x v="1035"/>
    <n v="26619"/>
    <n v="1"/>
    <s v="Y"/>
    <s v="Yes"/>
    <n v="12"/>
    <n v="3"/>
    <n v="4"/>
    <n v="80"/>
    <n v="1"/>
    <n v="1"/>
    <n v="2"/>
    <n v="3"/>
    <n v="1"/>
    <n v="0"/>
    <n v="0"/>
    <n v="0"/>
    <x v="2"/>
    <x v="1"/>
  </r>
  <r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x v="2"/>
    <s v="Manufacturing Director"/>
    <n v="4"/>
    <s v="Married"/>
    <x v="1036"/>
    <n v="14618"/>
    <n v="0"/>
    <s v="Y"/>
    <s v="No"/>
    <n v="16"/>
    <n v="3"/>
    <n v="2"/>
    <n v="80"/>
    <n v="1"/>
    <n v="34"/>
    <n v="4"/>
    <n v="3"/>
    <n v="33"/>
    <n v="7"/>
    <n v="1"/>
    <n v="9"/>
    <x v="1"/>
    <x v="2"/>
  </r>
  <r>
    <n v="38"/>
    <s v="Yes"/>
    <s v="Travel_Rarely"/>
    <n v="903"/>
    <s v="Research &amp; Development"/>
    <n v="2"/>
    <n v="3"/>
    <s v="Medical"/>
    <n v="1"/>
    <n v="1573"/>
    <n v="3"/>
    <s v="Male"/>
    <n v="81"/>
    <n v="3"/>
    <x v="0"/>
    <s v="Manufacturing Director"/>
    <n v="2"/>
    <s v="Married"/>
    <x v="1037"/>
    <n v="7653"/>
    <n v="4"/>
    <s v="Y"/>
    <s v="No"/>
    <n v="11"/>
    <n v="3"/>
    <n v="1"/>
    <n v="80"/>
    <n v="2"/>
    <n v="7"/>
    <n v="2"/>
    <n v="3"/>
    <n v="5"/>
    <n v="2"/>
    <n v="1"/>
    <n v="4"/>
    <x v="0"/>
    <x v="0"/>
  </r>
  <r>
    <n v="32"/>
    <s v="No"/>
    <s v="Non-Travel"/>
    <n v="1200"/>
    <s v="Research &amp; Development"/>
    <n v="1"/>
    <n v="4"/>
    <s v="Technical Degree"/>
    <n v="1"/>
    <n v="1574"/>
    <n v="4"/>
    <s v="Male"/>
    <n v="62"/>
    <n v="3"/>
    <x v="0"/>
    <s v="Research Scientist"/>
    <n v="1"/>
    <s v="Married"/>
    <x v="1038"/>
    <n v="25174"/>
    <n v="4"/>
    <s v="Y"/>
    <s v="No"/>
    <n v="14"/>
    <n v="3"/>
    <n v="2"/>
    <n v="80"/>
    <n v="1"/>
    <n v="9"/>
    <n v="3"/>
    <n v="2"/>
    <n v="6"/>
    <n v="5"/>
    <n v="1"/>
    <n v="2"/>
    <x v="2"/>
    <x v="0"/>
  </r>
  <r>
    <n v="48"/>
    <s v="No"/>
    <s v="Travel_Rarely"/>
    <n v="1108"/>
    <s v="Research &amp; Development"/>
    <n v="15"/>
    <n v="4"/>
    <s v="Other"/>
    <n v="1"/>
    <n v="1576"/>
    <n v="3"/>
    <s v="Female"/>
    <n v="65"/>
    <n v="3"/>
    <x v="1"/>
    <s v="Research Scientist"/>
    <n v="1"/>
    <s v="Married"/>
    <x v="1039"/>
    <n v="16530"/>
    <n v="8"/>
    <s v="Y"/>
    <s v="No"/>
    <n v="12"/>
    <n v="3"/>
    <n v="4"/>
    <n v="80"/>
    <n v="1"/>
    <n v="10"/>
    <n v="3"/>
    <n v="2"/>
    <n v="8"/>
    <n v="2"/>
    <n v="7"/>
    <n v="6"/>
    <x v="1"/>
    <x v="1"/>
  </r>
  <r>
    <n v="34"/>
    <s v="No"/>
    <s v="Travel_Rarely"/>
    <n v="479"/>
    <s v="Research &amp; Development"/>
    <n v="7"/>
    <n v="4"/>
    <s v="Medical"/>
    <n v="1"/>
    <n v="1577"/>
    <n v="1"/>
    <s v="Male"/>
    <n v="35"/>
    <n v="3"/>
    <x v="1"/>
    <s v="Research Scientist"/>
    <n v="4"/>
    <s v="Single"/>
    <x v="1040"/>
    <n v="22061"/>
    <n v="1"/>
    <s v="Y"/>
    <s v="No"/>
    <n v="13"/>
    <n v="3"/>
    <n v="3"/>
    <n v="80"/>
    <n v="0"/>
    <n v="1"/>
    <n v="4"/>
    <n v="1"/>
    <n v="1"/>
    <n v="0"/>
    <n v="0"/>
    <n v="0"/>
    <x v="2"/>
    <x v="1"/>
  </r>
  <r>
    <n v="55"/>
    <s v="No"/>
    <s v="Travel_Rarely"/>
    <n v="685"/>
    <s v="Sales"/>
    <n v="26"/>
    <n v="5"/>
    <s v="Marketing"/>
    <n v="1"/>
    <n v="1578"/>
    <n v="3"/>
    <s v="Male"/>
    <n v="60"/>
    <n v="2"/>
    <x v="4"/>
    <s v="Manager"/>
    <n v="4"/>
    <s v="Married"/>
    <x v="1041"/>
    <n v="23037"/>
    <n v="1"/>
    <s v="Y"/>
    <s v="No"/>
    <n v="21"/>
    <n v="4"/>
    <n v="3"/>
    <n v="80"/>
    <n v="1"/>
    <n v="36"/>
    <n v="3"/>
    <n v="3"/>
    <n v="36"/>
    <n v="6"/>
    <n v="2"/>
    <n v="13"/>
    <x v="1"/>
    <x v="3"/>
  </r>
  <r>
    <n v="34"/>
    <s v="No"/>
    <s v="Travel_Rarely"/>
    <n v="1351"/>
    <s v="Research &amp; Development"/>
    <n v="1"/>
    <n v="4"/>
    <s v="Life Sciences"/>
    <n v="1"/>
    <n v="1580"/>
    <n v="2"/>
    <s v="Male"/>
    <n v="45"/>
    <n v="3"/>
    <x v="0"/>
    <s v="Research Scientist"/>
    <n v="4"/>
    <s v="Married"/>
    <x v="299"/>
    <n v="13008"/>
    <n v="9"/>
    <s v="Y"/>
    <s v="No"/>
    <n v="17"/>
    <n v="3"/>
    <n v="2"/>
    <n v="80"/>
    <n v="1"/>
    <n v="9"/>
    <n v="3"/>
    <n v="2"/>
    <n v="2"/>
    <n v="2"/>
    <n v="2"/>
    <n v="1"/>
    <x v="2"/>
    <x v="0"/>
  </r>
  <r>
    <n v="26"/>
    <s v="No"/>
    <s v="Travel_Rarely"/>
    <n v="474"/>
    <s v="Research &amp; Development"/>
    <n v="3"/>
    <n v="3"/>
    <s v="Life Sciences"/>
    <n v="1"/>
    <n v="1581"/>
    <n v="1"/>
    <s v="Female"/>
    <n v="89"/>
    <n v="3"/>
    <x v="1"/>
    <s v="Research Scientist"/>
    <n v="4"/>
    <s v="Married"/>
    <x v="1042"/>
    <n v="11133"/>
    <n v="1"/>
    <s v="Y"/>
    <s v="No"/>
    <n v="21"/>
    <n v="4"/>
    <n v="1"/>
    <n v="80"/>
    <n v="0"/>
    <n v="1"/>
    <n v="5"/>
    <n v="3"/>
    <n v="1"/>
    <n v="0"/>
    <n v="0"/>
    <n v="0"/>
    <x v="2"/>
    <x v="1"/>
  </r>
  <r>
    <n v="38"/>
    <s v="No"/>
    <s v="Travel_Rarely"/>
    <n v="1245"/>
    <s v="Sales"/>
    <n v="14"/>
    <n v="3"/>
    <s v="Life Sciences"/>
    <n v="1"/>
    <n v="1582"/>
    <n v="3"/>
    <s v="Male"/>
    <n v="80"/>
    <n v="3"/>
    <x v="0"/>
    <s v="Sales Executive"/>
    <n v="2"/>
    <s v="Married"/>
    <x v="1043"/>
    <n v="12355"/>
    <n v="0"/>
    <s v="Y"/>
    <s v="No"/>
    <n v="11"/>
    <n v="3"/>
    <n v="4"/>
    <n v="80"/>
    <n v="1"/>
    <n v="10"/>
    <n v="3"/>
    <n v="3"/>
    <n v="9"/>
    <n v="8"/>
    <n v="7"/>
    <n v="7"/>
    <x v="0"/>
    <x v="2"/>
  </r>
  <r>
    <n v="38"/>
    <s v="No"/>
    <s v="Travel_Rarely"/>
    <n v="437"/>
    <s v="Sales"/>
    <n v="16"/>
    <n v="3"/>
    <s v="Life Sciences"/>
    <n v="1"/>
    <n v="1583"/>
    <n v="2"/>
    <s v="Female"/>
    <n v="90"/>
    <n v="3"/>
    <x v="0"/>
    <s v="Sales Executive"/>
    <n v="2"/>
    <s v="Single"/>
    <x v="1044"/>
    <n v="16379"/>
    <n v="2"/>
    <s v="Y"/>
    <s v="No"/>
    <n v="12"/>
    <n v="3"/>
    <n v="2"/>
    <n v="80"/>
    <n v="0"/>
    <n v="8"/>
    <n v="5"/>
    <n v="4"/>
    <n v="3"/>
    <n v="2"/>
    <n v="1"/>
    <n v="2"/>
    <x v="0"/>
    <x v="0"/>
  </r>
  <r>
    <n v="36"/>
    <s v="No"/>
    <s v="Travel_Rarely"/>
    <n v="884"/>
    <s v="Sales"/>
    <n v="1"/>
    <n v="4"/>
    <s v="Life Sciences"/>
    <n v="1"/>
    <n v="1585"/>
    <n v="2"/>
    <s v="Female"/>
    <n v="73"/>
    <n v="3"/>
    <x v="0"/>
    <s v="Sales Executive"/>
    <n v="3"/>
    <s v="Single"/>
    <x v="1045"/>
    <n v="21447"/>
    <n v="6"/>
    <s v="Y"/>
    <s v="No"/>
    <n v="13"/>
    <n v="3"/>
    <n v="1"/>
    <n v="80"/>
    <n v="0"/>
    <n v="15"/>
    <n v="5"/>
    <n v="3"/>
    <n v="1"/>
    <n v="0"/>
    <n v="0"/>
    <n v="0"/>
    <x v="0"/>
    <x v="0"/>
  </r>
  <r>
    <n v="29"/>
    <s v="No"/>
    <s v="Travel_Rarely"/>
    <n v="1370"/>
    <s v="Research &amp; Development"/>
    <n v="3"/>
    <n v="1"/>
    <s v="Medical"/>
    <n v="1"/>
    <n v="1586"/>
    <n v="2"/>
    <s v="Male"/>
    <n v="87"/>
    <n v="3"/>
    <x v="1"/>
    <s v="Laboratory Technician"/>
    <n v="1"/>
    <s v="Single"/>
    <x v="1046"/>
    <n v="16213"/>
    <n v="1"/>
    <s v="Y"/>
    <s v="Yes"/>
    <n v="18"/>
    <n v="3"/>
    <n v="4"/>
    <n v="80"/>
    <n v="0"/>
    <n v="10"/>
    <n v="3"/>
    <n v="3"/>
    <n v="10"/>
    <n v="9"/>
    <n v="1"/>
    <n v="5"/>
    <x v="2"/>
    <x v="0"/>
  </r>
  <r>
    <n v="35"/>
    <s v="No"/>
    <s v="Travel_Rarely"/>
    <n v="670"/>
    <s v="Research &amp; Development"/>
    <n v="10"/>
    <n v="4"/>
    <s v="Medical"/>
    <n v="1"/>
    <n v="1587"/>
    <n v="1"/>
    <s v="Female"/>
    <n v="51"/>
    <n v="3"/>
    <x v="0"/>
    <s v="Healthcare Representative"/>
    <n v="3"/>
    <s v="Single"/>
    <x v="528"/>
    <n v="4223"/>
    <n v="3"/>
    <s v="Y"/>
    <s v="Yes"/>
    <n v="16"/>
    <n v="3"/>
    <n v="3"/>
    <n v="80"/>
    <n v="0"/>
    <n v="10"/>
    <n v="4"/>
    <n v="3"/>
    <n v="5"/>
    <n v="2"/>
    <n v="0"/>
    <n v="4"/>
    <x v="2"/>
    <x v="0"/>
  </r>
  <r>
    <n v="39"/>
    <s v="No"/>
    <s v="Travel_Rarely"/>
    <n v="1462"/>
    <s v="Sales"/>
    <n v="6"/>
    <n v="3"/>
    <s v="Medical"/>
    <n v="1"/>
    <n v="1588"/>
    <n v="4"/>
    <s v="Male"/>
    <n v="38"/>
    <n v="4"/>
    <x v="2"/>
    <s v="Sales Executive"/>
    <n v="3"/>
    <s v="Married"/>
    <x v="1047"/>
    <n v="4658"/>
    <n v="2"/>
    <s v="Y"/>
    <s v="No"/>
    <n v="11"/>
    <n v="3"/>
    <n v="1"/>
    <n v="80"/>
    <n v="1"/>
    <n v="11"/>
    <n v="3"/>
    <n v="3"/>
    <n v="7"/>
    <n v="6"/>
    <n v="7"/>
    <n v="6"/>
    <x v="0"/>
    <x v="2"/>
  </r>
  <r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x v="0"/>
    <s v="Healthcare Representative"/>
    <n v="4"/>
    <s v="Divorced"/>
    <x v="1048"/>
    <n v="24483"/>
    <n v="1"/>
    <s v="Y"/>
    <s v="No"/>
    <n v="19"/>
    <n v="3"/>
    <n v="4"/>
    <n v="80"/>
    <n v="1"/>
    <n v="6"/>
    <n v="0"/>
    <n v="4"/>
    <n v="6"/>
    <n v="4"/>
    <n v="1"/>
    <n v="3"/>
    <x v="2"/>
    <x v="2"/>
  </r>
  <r>
    <n v="50"/>
    <s v="No"/>
    <s v="Travel_Rarely"/>
    <n v="264"/>
    <s v="Sales"/>
    <n v="9"/>
    <n v="3"/>
    <s v="Marketing"/>
    <n v="1"/>
    <n v="1591"/>
    <n v="3"/>
    <s v="Male"/>
    <n v="59"/>
    <n v="3"/>
    <x v="4"/>
    <s v="Manager"/>
    <n v="3"/>
    <s v="Married"/>
    <x v="1049"/>
    <n v="19519"/>
    <n v="4"/>
    <s v="Y"/>
    <s v="Yes"/>
    <n v="16"/>
    <n v="3"/>
    <n v="3"/>
    <n v="80"/>
    <n v="1"/>
    <n v="27"/>
    <n v="2"/>
    <n v="3"/>
    <n v="1"/>
    <n v="0"/>
    <n v="0"/>
    <n v="0"/>
    <x v="1"/>
    <x v="3"/>
  </r>
  <r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x v="1"/>
    <s v="Research Scientist"/>
    <n v="3"/>
    <s v="Married"/>
    <x v="97"/>
    <n v="12826"/>
    <n v="2"/>
    <s v="Y"/>
    <s v="No"/>
    <n v="16"/>
    <n v="3"/>
    <n v="4"/>
    <n v="80"/>
    <n v="1"/>
    <n v="4"/>
    <n v="2"/>
    <n v="3"/>
    <n v="2"/>
    <n v="2"/>
    <n v="2"/>
    <n v="2"/>
    <x v="4"/>
    <x v="1"/>
  </r>
  <r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x v="0"/>
    <s v="Laboratory Technician"/>
    <n v="1"/>
    <s v="Married"/>
    <x v="622"/>
    <n v="19711"/>
    <n v="3"/>
    <s v="Y"/>
    <s v="Yes"/>
    <n v="13"/>
    <n v="3"/>
    <n v="4"/>
    <n v="80"/>
    <n v="1"/>
    <n v="9"/>
    <n v="3"/>
    <n v="3"/>
    <n v="3"/>
    <n v="2"/>
    <n v="0"/>
    <n v="2"/>
    <x v="0"/>
    <x v="0"/>
  </r>
  <r>
    <n v="42"/>
    <s v="No"/>
    <s v="Travel_Rarely"/>
    <n v="1059"/>
    <s v="Research &amp; Development"/>
    <n v="9"/>
    <n v="2"/>
    <s v="Other"/>
    <n v="1"/>
    <n v="1595"/>
    <n v="4"/>
    <s v="Male"/>
    <n v="93"/>
    <n v="2"/>
    <x v="4"/>
    <s v="Manager"/>
    <n v="4"/>
    <s v="Single"/>
    <x v="1050"/>
    <n v="26362"/>
    <n v="8"/>
    <s v="Y"/>
    <s v="No"/>
    <n v="22"/>
    <n v="4"/>
    <n v="4"/>
    <n v="80"/>
    <n v="0"/>
    <n v="24"/>
    <n v="2"/>
    <n v="3"/>
    <n v="1"/>
    <n v="0"/>
    <n v="0"/>
    <n v="1"/>
    <x v="0"/>
    <x v="3"/>
  </r>
  <r>
    <n v="35"/>
    <s v="No"/>
    <s v="Travel_Rarely"/>
    <n v="750"/>
    <s v="Research &amp; Development"/>
    <n v="28"/>
    <n v="3"/>
    <s v="Life Sciences"/>
    <n v="1"/>
    <n v="1596"/>
    <n v="2"/>
    <s v="Male"/>
    <n v="46"/>
    <n v="4"/>
    <x v="0"/>
    <s v="Laboratory Technician"/>
    <n v="3"/>
    <s v="Married"/>
    <x v="21"/>
    <n v="25348"/>
    <n v="1"/>
    <s v="Y"/>
    <s v="No"/>
    <n v="17"/>
    <n v="3"/>
    <n v="4"/>
    <n v="80"/>
    <n v="2"/>
    <n v="10"/>
    <n v="3"/>
    <n v="2"/>
    <n v="10"/>
    <n v="9"/>
    <n v="6"/>
    <n v="8"/>
    <x v="2"/>
    <x v="0"/>
  </r>
  <r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x v="0"/>
    <s v="Healthcare Representative"/>
    <n v="3"/>
    <s v="Married"/>
    <x v="1051"/>
    <n v="15332"/>
    <n v="1"/>
    <s v="Y"/>
    <s v="No"/>
    <n v="14"/>
    <n v="3"/>
    <n v="2"/>
    <n v="80"/>
    <n v="1"/>
    <n v="8"/>
    <n v="3"/>
    <n v="2"/>
    <n v="8"/>
    <n v="2"/>
    <n v="7"/>
    <n v="7"/>
    <x v="2"/>
    <x v="0"/>
  </r>
  <r>
    <n v="40"/>
    <s v="No"/>
    <s v="Travel_Rarely"/>
    <n v="118"/>
    <s v="Sales"/>
    <n v="14"/>
    <n v="2"/>
    <s v="Life Sciences"/>
    <n v="1"/>
    <n v="1598"/>
    <n v="4"/>
    <s v="Female"/>
    <n v="84"/>
    <n v="3"/>
    <x v="0"/>
    <s v="Sales Executive"/>
    <n v="1"/>
    <s v="Married"/>
    <x v="912"/>
    <n v="11262"/>
    <n v="1"/>
    <s v="Y"/>
    <s v="No"/>
    <n v="15"/>
    <n v="3"/>
    <n v="3"/>
    <n v="80"/>
    <n v="1"/>
    <n v="5"/>
    <n v="2"/>
    <n v="3"/>
    <n v="5"/>
    <n v="4"/>
    <n v="1"/>
    <n v="2"/>
    <x v="0"/>
    <x v="0"/>
  </r>
  <r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x v="1"/>
    <s v="Laboratory Technician"/>
    <n v="2"/>
    <s v="Divorced"/>
    <x v="204"/>
    <n v="5855"/>
    <n v="5"/>
    <s v="Y"/>
    <s v="No"/>
    <n v="12"/>
    <n v="3"/>
    <n v="3"/>
    <n v="80"/>
    <n v="1"/>
    <n v="8"/>
    <n v="0"/>
    <n v="3"/>
    <n v="6"/>
    <n v="4"/>
    <n v="0"/>
    <n v="2"/>
    <x v="0"/>
    <x v="0"/>
  </r>
  <r>
    <n v="35"/>
    <s v="No"/>
    <s v="Travel_Rarely"/>
    <n v="1349"/>
    <s v="Research &amp; Development"/>
    <n v="7"/>
    <n v="2"/>
    <s v="Life Sciences"/>
    <n v="1"/>
    <n v="1601"/>
    <n v="3"/>
    <s v="Male"/>
    <n v="63"/>
    <n v="2"/>
    <x v="1"/>
    <s v="Laboratory Technician"/>
    <n v="4"/>
    <s v="Married"/>
    <x v="1052"/>
    <n v="7713"/>
    <n v="1"/>
    <s v="Y"/>
    <s v="No"/>
    <n v="18"/>
    <n v="3"/>
    <n v="4"/>
    <n v="80"/>
    <n v="1"/>
    <n v="1"/>
    <n v="5"/>
    <n v="2"/>
    <n v="1"/>
    <n v="0"/>
    <n v="0"/>
    <n v="1"/>
    <x v="2"/>
    <x v="1"/>
  </r>
  <r>
    <n v="46"/>
    <s v="No"/>
    <s v="Travel_Rarely"/>
    <n v="563"/>
    <s v="Sales"/>
    <n v="1"/>
    <n v="4"/>
    <s v="Life Sciences"/>
    <n v="1"/>
    <n v="1602"/>
    <n v="4"/>
    <s v="Male"/>
    <n v="56"/>
    <n v="4"/>
    <x v="3"/>
    <s v="Manager"/>
    <n v="1"/>
    <s v="Single"/>
    <x v="1053"/>
    <n v="3156"/>
    <n v="1"/>
    <s v="Y"/>
    <s v="No"/>
    <n v="15"/>
    <n v="3"/>
    <n v="2"/>
    <n v="80"/>
    <n v="0"/>
    <n v="27"/>
    <n v="5"/>
    <n v="1"/>
    <n v="26"/>
    <n v="0"/>
    <n v="0"/>
    <n v="12"/>
    <x v="1"/>
    <x v="3"/>
  </r>
  <r>
    <n v="28"/>
    <s v="Yes"/>
    <s v="Travel_Rarely"/>
    <n v="329"/>
    <s v="Research &amp; Development"/>
    <n v="24"/>
    <n v="3"/>
    <s v="Medical"/>
    <n v="1"/>
    <n v="1604"/>
    <n v="3"/>
    <s v="Male"/>
    <n v="51"/>
    <n v="3"/>
    <x v="1"/>
    <s v="Laboratory Technician"/>
    <n v="2"/>
    <s v="Married"/>
    <x v="1054"/>
    <n v="7324"/>
    <n v="1"/>
    <s v="Y"/>
    <s v="Yes"/>
    <n v="17"/>
    <n v="3"/>
    <n v="3"/>
    <n v="80"/>
    <n v="3"/>
    <n v="1"/>
    <n v="3"/>
    <n v="3"/>
    <n v="1"/>
    <n v="1"/>
    <n v="0"/>
    <n v="0"/>
    <x v="2"/>
    <x v="1"/>
  </r>
  <r>
    <n v="22"/>
    <s v="No"/>
    <s v="Non-Travel"/>
    <n v="457"/>
    <s v="Research &amp; Development"/>
    <n v="26"/>
    <n v="2"/>
    <s v="Other"/>
    <n v="1"/>
    <n v="1605"/>
    <n v="2"/>
    <s v="Female"/>
    <n v="85"/>
    <n v="2"/>
    <x v="1"/>
    <s v="Research Scientist"/>
    <n v="3"/>
    <s v="Married"/>
    <x v="1055"/>
    <n v="10293"/>
    <n v="1"/>
    <s v="Y"/>
    <s v="Yes"/>
    <n v="14"/>
    <n v="3"/>
    <n v="2"/>
    <n v="80"/>
    <n v="0"/>
    <n v="4"/>
    <n v="2"/>
    <n v="2"/>
    <n v="4"/>
    <n v="2"/>
    <n v="1"/>
    <n v="3"/>
    <x v="4"/>
    <x v="1"/>
  </r>
  <r>
    <n v="50"/>
    <s v="No"/>
    <s v="Travel_Frequently"/>
    <n v="1234"/>
    <s v="Research &amp; Development"/>
    <n v="20"/>
    <n v="5"/>
    <s v="Medical"/>
    <n v="1"/>
    <n v="1606"/>
    <n v="2"/>
    <s v="Male"/>
    <n v="41"/>
    <n v="3"/>
    <x v="3"/>
    <s v="Healthcare Representative"/>
    <n v="3"/>
    <s v="Married"/>
    <x v="1056"/>
    <n v="20689"/>
    <n v="2"/>
    <s v="Y"/>
    <s v="Yes"/>
    <n v="15"/>
    <n v="3"/>
    <n v="3"/>
    <n v="80"/>
    <n v="1"/>
    <n v="32"/>
    <n v="3"/>
    <n v="3"/>
    <n v="30"/>
    <n v="8"/>
    <n v="12"/>
    <n v="13"/>
    <x v="1"/>
    <x v="2"/>
  </r>
  <r>
    <n v="32"/>
    <s v="No"/>
    <s v="Travel_Rarely"/>
    <n v="634"/>
    <s v="Research &amp; Development"/>
    <n v="5"/>
    <n v="4"/>
    <s v="Other"/>
    <n v="1"/>
    <n v="1607"/>
    <n v="2"/>
    <s v="Female"/>
    <n v="35"/>
    <n v="4"/>
    <x v="1"/>
    <s v="Research Scientist"/>
    <n v="4"/>
    <s v="Married"/>
    <x v="1057"/>
    <n v="18783"/>
    <n v="3"/>
    <s v="Y"/>
    <s v="No"/>
    <n v="17"/>
    <n v="3"/>
    <n v="4"/>
    <n v="80"/>
    <n v="2"/>
    <n v="6"/>
    <n v="3"/>
    <n v="3"/>
    <n v="3"/>
    <n v="2"/>
    <n v="0"/>
    <n v="2"/>
    <x v="2"/>
    <x v="0"/>
  </r>
  <r>
    <n v="44"/>
    <s v="No"/>
    <s v="Travel_Rarely"/>
    <n v="1313"/>
    <s v="Research &amp; Development"/>
    <n v="7"/>
    <n v="3"/>
    <s v="Medical"/>
    <n v="1"/>
    <n v="1608"/>
    <n v="2"/>
    <s v="Female"/>
    <n v="31"/>
    <n v="3"/>
    <x v="4"/>
    <s v="Research Director"/>
    <n v="4"/>
    <s v="Divorced"/>
    <x v="1058"/>
    <n v="3549"/>
    <n v="0"/>
    <s v="Y"/>
    <s v="Yes"/>
    <n v="14"/>
    <n v="3"/>
    <n v="4"/>
    <n v="80"/>
    <n v="1"/>
    <n v="23"/>
    <n v="4"/>
    <n v="2"/>
    <n v="22"/>
    <n v="7"/>
    <n v="1"/>
    <n v="10"/>
    <x v="0"/>
    <x v="3"/>
  </r>
  <r>
    <n v="30"/>
    <s v="No"/>
    <s v="Travel_Rarely"/>
    <n v="241"/>
    <s v="Research &amp; Development"/>
    <n v="7"/>
    <n v="3"/>
    <s v="Medical"/>
    <n v="1"/>
    <n v="1609"/>
    <n v="2"/>
    <s v="Male"/>
    <n v="48"/>
    <n v="2"/>
    <x v="1"/>
    <s v="Research Scientist"/>
    <n v="2"/>
    <s v="Married"/>
    <x v="1059"/>
    <n v="5348"/>
    <n v="1"/>
    <s v="Y"/>
    <s v="No"/>
    <n v="12"/>
    <n v="3"/>
    <n v="2"/>
    <n v="80"/>
    <n v="1"/>
    <n v="6"/>
    <n v="3"/>
    <n v="2"/>
    <n v="6"/>
    <n v="4"/>
    <n v="1"/>
    <n v="1"/>
    <x v="2"/>
    <x v="1"/>
  </r>
  <r>
    <n v="45"/>
    <s v="No"/>
    <s v="Travel_Rarely"/>
    <n v="1015"/>
    <s v="Research &amp; Development"/>
    <n v="5"/>
    <n v="5"/>
    <s v="Medical"/>
    <n v="1"/>
    <n v="1611"/>
    <n v="3"/>
    <s v="Female"/>
    <n v="50"/>
    <n v="1"/>
    <x v="0"/>
    <s v="Laboratory Technician"/>
    <n v="1"/>
    <s v="Single"/>
    <x v="939"/>
    <n v="23447"/>
    <n v="1"/>
    <s v="Y"/>
    <s v="Yes"/>
    <n v="14"/>
    <n v="3"/>
    <n v="1"/>
    <n v="80"/>
    <n v="0"/>
    <n v="10"/>
    <n v="3"/>
    <n v="3"/>
    <n v="10"/>
    <n v="7"/>
    <n v="1"/>
    <n v="4"/>
    <x v="0"/>
    <x v="0"/>
  </r>
  <r>
    <n v="45"/>
    <s v="No"/>
    <s v="Non-Travel"/>
    <n v="336"/>
    <s v="Sales"/>
    <n v="26"/>
    <n v="3"/>
    <s v="Marketing"/>
    <n v="1"/>
    <n v="1612"/>
    <n v="1"/>
    <s v="Male"/>
    <n v="52"/>
    <n v="2"/>
    <x v="0"/>
    <s v="Sales Executive"/>
    <n v="1"/>
    <s v="Married"/>
    <x v="1060"/>
    <n v="24162"/>
    <n v="1"/>
    <s v="Y"/>
    <s v="No"/>
    <n v="15"/>
    <n v="3"/>
    <n v="1"/>
    <n v="80"/>
    <n v="1"/>
    <n v="10"/>
    <n v="2"/>
    <n v="3"/>
    <n v="10"/>
    <n v="7"/>
    <n v="4"/>
    <n v="5"/>
    <x v="0"/>
    <x v="0"/>
  </r>
  <r>
    <n v="31"/>
    <s v="No"/>
    <s v="Travel_Frequently"/>
    <n v="715"/>
    <s v="Sales"/>
    <n v="2"/>
    <n v="4"/>
    <s v="Other"/>
    <n v="1"/>
    <n v="1613"/>
    <n v="4"/>
    <s v="Male"/>
    <n v="54"/>
    <n v="3"/>
    <x v="0"/>
    <s v="Sales Executive"/>
    <n v="1"/>
    <s v="Single"/>
    <x v="1061"/>
    <n v="21602"/>
    <n v="7"/>
    <s v="Y"/>
    <s v="No"/>
    <n v="13"/>
    <n v="3"/>
    <n v="4"/>
    <n v="80"/>
    <n v="0"/>
    <n v="10"/>
    <n v="3"/>
    <n v="3"/>
    <n v="5"/>
    <n v="2"/>
    <n v="0"/>
    <n v="3"/>
    <x v="2"/>
    <x v="0"/>
  </r>
  <r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x v="0"/>
    <s v="Manufacturing Director"/>
    <n v="3"/>
    <s v="Married"/>
    <x v="1062"/>
    <n v="12421"/>
    <n v="9"/>
    <s v="Y"/>
    <s v="Yes"/>
    <n v="12"/>
    <n v="3"/>
    <n v="2"/>
    <n v="80"/>
    <n v="2"/>
    <n v="7"/>
    <n v="2"/>
    <n v="3"/>
    <n v="3"/>
    <n v="2"/>
    <n v="1"/>
    <n v="1"/>
    <x v="0"/>
    <x v="0"/>
  </r>
  <r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x v="0"/>
    <s v="Manufacturing Director"/>
    <n v="4"/>
    <s v="Divorced"/>
    <x v="927"/>
    <n v="17000"/>
    <n v="1"/>
    <s v="Y"/>
    <s v="No"/>
    <n v="13"/>
    <n v="3"/>
    <n v="1"/>
    <n v="80"/>
    <n v="1"/>
    <n v="9"/>
    <n v="3"/>
    <n v="3"/>
    <n v="9"/>
    <n v="7"/>
    <n v="7"/>
    <n v="2"/>
    <x v="2"/>
    <x v="0"/>
  </r>
  <r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x v="1"/>
    <s v="Laboratory Technician"/>
    <n v="1"/>
    <s v="Married"/>
    <x v="1063"/>
    <n v="22102"/>
    <n v="1"/>
    <s v="Y"/>
    <s v="No"/>
    <n v="14"/>
    <n v="3"/>
    <n v="4"/>
    <n v="80"/>
    <n v="1"/>
    <n v="10"/>
    <n v="3"/>
    <n v="2"/>
    <n v="9"/>
    <n v="6"/>
    <n v="1"/>
    <n v="4"/>
    <x v="1"/>
    <x v="0"/>
  </r>
  <r>
    <n v="39"/>
    <s v="No"/>
    <s v="Travel_Rarely"/>
    <n v="1387"/>
    <s v="Research &amp; Development"/>
    <n v="10"/>
    <n v="5"/>
    <s v="Medical"/>
    <n v="1"/>
    <n v="1618"/>
    <n v="2"/>
    <s v="Male"/>
    <n v="76"/>
    <n v="3"/>
    <x v="0"/>
    <s v="Manufacturing Director"/>
    <n v="1"/>
    <s v="Married"/>
    <x v="1064"/>
    <n v="3835"/>
    <n v="2"/>
    <s v="Y"/>
    <s v="No"/>
    <n v="13"/>
    <n v="3"/>
    <n v="4"/>
    <n v="80"/>
    <n v="3"/>
    <n v="10"/>
    <n v="3"/>
    <n v="3"/>
    <n v="7"/>
    <n v="7"/>
    <n v="7"/>
    <n v="7"/>
    <x v="0"/>
    <x v="0"/>
  </r>
  <r>
    <n v="27"/>
    <s v="No"/>
    <s v="Travel_Rarely"/>
    <n v="1302"/>
    <s v="Research &amp; Development"/>
    <n v="19"/>
    <n v="3"/>
    <s v="Other"/>
    <n v="1"/>
    <n v="1619"/>
    <n v="4"/>
    <s v="Male"/>
    <n v="67"/>
    <n v="2"/>
    <x v="1"/>
    <s v="Laboratory Technician"/>
    <n v="1"/>
    <s v="Divorced"/>
    <x v="1065"/>
    <n v="16290"/>
    <n v="1"/>
    <s v="Y"/>
    <s v="No"/>
    <n v="11"/>
    <n v="3"/>
    <n v="1"/>
    <n v="80"/>
    <n v="2"/>
    <n v="7"/>
    <n v="3"/>
    <n v="3"/>
    <n v="7"/>
    <n v="7"/>
    <n v="0"/>
    <n v="7"/>
    <x v="2"/>
    <x v="0"/>
  </r>
  <r>
    <n v="35"/>
    <s v="No"/>
    <s v="Travel_Rarely"/>
    <n v="819"/>
    <s v="Research &amp; Development"/>
    <n v="18"/>
    <n v="5"/>
    <s v="Life Sciences"/>
    <n v="1"/>
    <n v="1621"/>
    <n v="2"/>
    <s v="Male"/>
    <n v="48"/>
    <n v="4"/>
    <x v="0"/>
    <s v="Research Scientist"/>
    <n v="1"/>
    <s v="Married"/>
    <x v="1066"/>
    <n v="26312"/>
    <n v="1"/>
    <s v="Y"/>
    <s v="No"/>
    <n v="11"/>
    <n v="3"/>
    <n v="4"/>
    <n v="80"/>
    <n v="0"/>
    <n v="16"/>
    <n v="2"/>
    <n v="3"/>
    <n v="16"/>
    <n v="15"/>
    <n v="1"/>
    <n v="10"/>
    <x v="2"/>
    <x v="0"/>
  </r>
  <r>
    <n v="28"/>
    <s v="No"/>
    <s v="Travel_Rarely"/>
    <n v="580"/>
    <s v="Research &amp; Development"/>
    <n v="27"/>
    <n v="3"/>
    <s v="Medical"/>
    <n v="1"/>
    <n v="1622"/>
    <n v="2"/>
    <s v="Female"/>
    <n v="39"/>
    <n v="1"/>
    <x v="0"/>
    <s v="Manufacturing Director"/>
    <n v="1"/>
    <s v="Divorced"/>
    <x v="1067"/>
    <n v="20460"/>
    <n v="0"/>
    <s v="Y"/>
    <s v="No"/>
    <n v="21"/>
    <n v="4"/>
    <n v="2"/>
    <n v="80"/>
    <n v="1"/>
    <n v="6"/>
    <n v="5"/>
    <n v="2"/>
    <n v="5"/>
    <n v="3"/>
    <n v="0"/>
    <n v="0"/>
    <x v="2"/>
    <x v="0"/>
  </r>
  <r>
    <n v="21"/>
    <s v="No"/>
    <s v="Travel_Rarely"/>
    <n v="546"/>
    <s v="Research &amp; Development"/>
    <n v="5"/>
    <n v="1"/>
    <s v="Medical"/>
    <n v="1"/>
    <n v="1623"/>
    <n v="3"/>
    <s v="Male"/>
    <n v="97"/>
    <n v="3"/>
    <x v="1"/>
    <s v="Research Scientist"/>
    <n v="4"/>
    <s v="Single"/>
    <x v="1068"/>
    <n v="26009"/>
    <n v="1"/>
    <s v="Y"/>
    <s v="No"/>
    <n v="18"/>
    <n v="3"/>
    <n v="3"/>
    <n v="80"/>
    <n v="0"/>
    <n v="3"/>
    <n v="2"/>
    <n v="3"/>
    <n v="2"/>
    <n v="2"/>
    <n v="2"/>
    <n v="2"/>
    <x v="4"/>
    <x v="0"/>
  </r>
  <r>
    <n v="18"/>
    <s v="Yes"/>
    <s v="Travel_Frequently"/>
    <n v="544"/>
    <s v="Sales"/>
    <n v="3"/>
    <n v="2"/>
    <s v="Medical"/>
    <n v="1"/>
    <n v="1624"/>
    <n v="2"/>
    <s v="Female"/>
    <n v="70"/>
    <n v="3"/>
    <x v="1"/>
    <s v="Sales Representative"/>
    <n v="4"/>
    <s v="Single"/>
    <x v="1069"/>
    <n v="18420"/>
    <n v="1"/>
    <s v="Y"/>
    <s v="Yes"/>
    <n v="12"/>
    <n v="3"/>
    <n v="3"/>
    <n v="80"/>
    <n v="0"/>
    <n v="0"/>
    <n v="2"/>
    <n v="4"/>
    <n v="0"/>
    <n v="0"/>
    <n v="0"/>
    <n v="0"/>
    <x v="4"/>
    <x v="1"/>
  </r>
  <r>
    <n v="47"/>
    <s v="No"/>
    <s v="Travel_Rarely"/>
    <n v="1176"/>
    <s v="Human Resources"/>
    <n v="26"/>
    <n v="4"/>
    <s v="Life Sciences"/>
    <n v="1"/>
    <n v="1625"/>
    <n v="4"/>
    <s v="Female"/>
    <n v="98"/>
    <n v="3"/>
    <x v="4"/>
    <s v="Manager"/>
    <n v="3"/>
    <s v="Married"/>
    <x v="1070"/>
    <n v="5220"/>
    <n v="3"/>
    <s v="Y"/>
    <s v="No"/>
    <n v="11"/>
    <n v="3"/>
    <n v="3"/>
    <n v="80"/>
    <n v="1"/>
    <n v="27"/>
    <n v="2"/>
    <n v="3"/>
    <n v="5"/>
    <n v="2"/>
    <n v="1"/>
    <n v="0"/>
    <x v="1"/>
    <x v="3"/>
  </r>
  <r>
    <n v="39"/>
    <s v="No"/>
    <s v="Travel_Rarely"/>
    <n v="170"/>
    <s v="Research &amp; Development"/>
    <n v="3"/>
    <n v="2"/>
    <s v="Medical"/>
    <n v="1"/>
    <n v="1627"/>
    <n v="3"/>
    <s v="Male"/>
    <n v="76"/>
    <n v="2"/>
    <x v="0"/>
    <s v="Laboratory Technician"/>
    <n v="3"/>
    <s v="Divorced"/>
    <x v="1071"/>
    <n v="10302"/>
    <n v="0"/>
    <s v="Y"/>
    <s v="No"/>
    <n v="15"/>
    <n v="3"/>
    <n v="4"/>
    <n v="80"/>
    <n v="1"/>
    <n v="11"/>
    <n v="3"/>
    <n v="3"/>
    <n v="10"/>
    <n v="8"/>
    <n v="0"/>
    <n v="7"/>
    <x v="0"/>
    <x v="0"/>
  </r>
  <r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x v="2"/>
    <s v="Manufacturing Director"/>
    <n v="3"/>
    <s v="Married"/>
    <x v="1072"/>
    <n v="25800"/>
    <n v="1"/>
    <s v="Y"/>
    <s v="No"/>
    <n v="13"/>
    <n v="3"/>
    <n v="4"/>
    <n v="80"/>
    <n v="2"/>
    <n v="18"/>
    <n v="2"/>
    <n v="3"/>
    <n v="18"/>
    <n v="15"/>
    <n v="14"/>
    <n v="12"/>
    <x v="0"/>
    <x v="2"/>
  </r>
  <r>
    <n v="35"/>
    <s v="No"/>
    <s v="Non-Travel"/>
    <n v="208"/>
    <s v="Research &amp; Development"/>
    <n v="8"/>
    <n v="4"/>
    <s v="Life Sciences"/>
    <n v="1"/>
    <n v="1630"/>
    <n v="3"/>
    <s v="Female"/>
    <n v="52"/>
    <n v="3"/>
    <x v="0"/>
    <s v="Healthcare Representative"/>
    <n v="3"/>
    <s v="Married"/>
    <x v="691"/>
    <n v="12250"/>
    <n v="1"/>
    <s v="Y"/>
    <s v="No"/>
    <n v="12"/>
    <n v="3"/>
    <n v="4"/>
    <n v="80"/>
    <n v="1"/>
    <n v="15"/>
    <n v="5"/>
    <n v="3"/>
    <n v="14"/>
    <n v="11"/>
    <n v="2"/>
    <n v="9"/>
    <x v="2"/>
    <x v="0"/>
  </r>
  <r>
    <n v="37"/>
    <s v="No"/>
    <s v="Travel_Rarely"/>
    <n v="671"/>
    <s v="Research &amp; Development"/>
    <n v="19"/>
    <n v="3"/>
    <s v="Life Sciences"/>
    <n v="1"/>
    <n v="1631"/>
    <n v="3"/>
    <s v="Male"/>
    <n v="85"/>
    <n v="3"/>
    <x v="0"/>
    <s v="Manufacturing Director"/>
    <n v="3"/>
    <s v="Married"/>
    <x v="1073"/>
    <n v="26493"/>
    <n v="3"/>
    <s v="Y"/>
    <s v="No"/>
    <n v="17"/>
    <n v="3"/>
    <n v="1"/>
    <n v="80"/>
    <n v="3"/>
    <n v="9"/>
    <n v="2"/>
    <n v="2"/>
    <n v="4"/>
    <n v="3"/>
    <n v="0"/>
    <n v="2"/>
    <x v="0"/>
    <x v="0"/>
  </r>
  <r>
    <n v="39"/>
    <s v="No"/>
    <s v="Travel_Frequently"/>
    <n v="711"/>
    <s v="Research &amp; Development"/>
    <n v="4"/>
    <n v="3"/>
    <s v="Medical"/>
    <n v="1"/>
    <n v="1633"/>
    <n v="1"/>
    <s v="Female"/>
    <n v="81"/>
    <n v="3"/>
    <x v="0"/>
    <s v="Manufacturing Director"/>
    <n v="3"/>
    <s v="Single"/>
    <x v="1074"/>
    <n v="3140"/>
    <n v="0"/>
    <s v="Y"/>
    <s v="No"/>
    <n v="13"/>
    <n v="3"/>
    <n v="4"/>
    <n v="80"/>
    <n v="0"/>
    <n v="10"/>
    <n v="2"/>
    <n v="1"/>
    <n v="9"/>
    <n v="2"/>
    <n v="3"/>
    <n v="8"/>
    <x v="0"/>
    <x v="0"/>
  </r>
  <r>
    <n v="45"/>
    <s v="No"/>
    <s v="Travel_Rarely"/>
    <n v="1329"/>
    <s v="Research &amp; Development"/>
    <n v="2"/>
    <n v="2"/>
    <s v="Other"/>
    <n v="1"/>
    <n v="1635"/>
    <n v="4"/>
    <s v="Female"/>
    <n v="59"/>
    <n v="2"/>
    <x v="0"/>
    <s v="Manufacturing Director"/>
    <n v="4"/>
    <s v="Divorced"/>
    <x v="1075"/>
    <n v="5388"/>
    <n v="1"/>
    <s v="Y"/>
    <s v="No"/>
    <n v="19"/>
    <n v="3"/>
    <n v="1"/>
    <n v="80"/>
    <n v="2"/>
    <n v="10"/>
    <n v="3"/>
    <n v="3"/>
    <n v="10"/>
    <n v="7"/>
    <n v="3"/>
    <n v="9"/>
    <x v="0"/>
    <x v="0"/>
  </r>
  <r>
    <n v="38"/>
    <s v="No"/>
    <s v="Travel_Rarely"/>
    <n v="397"/>
    <s v="Research &amp; Development"/>
    <n v="2"/>
    <n v="2"/>
    <s v="Medical"/>
    <n v="1"/>
    <n v="1638"/>
    <n v="4"/>
    <s v="Female"/>
    <n v="54"/>
    <n v="2"/>
    <x v="2"/>
    <s v="Manufacturing Director"/>
    <n v="3"/>
    <s v="Married"/>
    <x v="751"/>
    <n v="14199"/>
    <n v="3"/>
    <s v="Y"/>
    <s v="Yes"/>
    <n v="19"/>
    <n v="3"/>
    <n v="4"/>
    <n v="80"/>
    <n v="1"/>
    <n v="10"/>
    <n v="6"/>
    <n v="4"/>
    <n v="5"/>
    <n v="4"/>
    <n v="0"/>
    <n v="2"/>
    <x v="0"/>
    <x v="2"/>
  </r>
  <r>
    <n v="35"/>
    <s v="Yes"/>
    <s v="Travel_Rarely"/>
    <n v="737"/>
    <s v="Sales"/>
    <n v="10"/>
    <n v="3"/>
    <s v="Medical"/>
    <n v="1"/>
    <n v="1639"/>
    <n v="4"/>
    <s v="Male"/>
    <n v="55"/>
    <n v="2"/>
    <x v="2"/>
    <s v="Sales Executive"/>
    <n v="1"/>
    <s v="Married"/>
    <x v="1076"/>
    <n v="21530"/>
    <n v="9"/>
    <s v="Y"/>
    <s v="No"/>
    <n v="17"/>
    <n v="3"/>
    <n v="3"/>
    <n v="80"/>
    <n v="0"/>
    <n v="15"/>
    <n v="3"/>
    <n v="3"/>
    <n v="13"/>
    <n v="12"/>
    <n v="6"/>
    <n v="0"/>
    <x v="2"/>
    <x v="2"/>
  </r>
  <r>
    <n v="37"/>
    <s v="No"/>
    <s v="Travel_Rarely"/>
    <n v="1470"/>
    <s v="Research &amp; Development"/>
    <n v="10"/>
    <n v="3"/>
    <s v="Medical"/>
    <n v="1"/>
    <n v="1640"/>
    <n v="2"/>
    <s v="Female"/>
    <n v="71"/>
    <n v="3"/>
    <x v="1"/>
    <s v="Research Scientist"/>
    <n v="2"/>
    <s v="Married"/>
    <x v="1077"/>
    <n v="9953"/>
    <n v="1"/>
    <s v="Y"/>
    <s v="No"/>
    <n v="11"/>
    <n v="3"/>
    <n v="1"/>
    <n v="80"/>
    <n v="1"/>
    <n v="8"/>
    <n v="2"/>
    <n v="1"/>
    <n v="8"/>
    <n v="4"/>
    <n v="7"/>
    <n v="7"/>
    <x v="0"/>
    <x v="0"/>
  </r>
  <r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x v="2"/>
    <s v="Manufacturing Director"/>
    <n v="4"/>
    <s v="Single"/>
    <x v="1078"/>
    <n v="19948"/>
    <n v="6"/>
    <s v="Y"/>
    <s v="Yes"/>
    <n v="15"/>
    <n v="3"/>
    <n v="4"/>
    <n v="80"/>
    <n v="0"/>
    <n v="18"/>
    <n v="2"/>
    <n v="2"/>
    <n v="4"/>
    <n v="2"/>
    <n v="3"/>
    <n v="3"/>
    <x v="0"/>
    <x v="2"/>
  </r>
  <r>
    <n v="44"/>
    <s v="No"/>
    <s v="Travel_Frequently"/>
    <n v="602"/>
    <s v="Human Resources"/>
    <n v="1"/>
    <n v="5"/>
    <s v="Human Resources"/>
    <n v="1"/>
    <n v="1642"/>
    <n v="1"/>
    <s v="Male"/>
    <n v="37"/>
    <n v="3"/>
    <x v="0"/>
    <s v="Human Resources"/>
    <n v="4"/>
    <s v="Married"/>
    <x v="1079"/>
    <n v="10503"/>
    <n v="4"/>
    <s v="Y"/>
    <s v="Yes"/>
    <n v="11"/>
    <n v="3"/>
    <n v="3"/>
    <n v="80"/>
    <n v="0"/>
    <n v="14"/>
    <n v="3"/>
    <n v="3"/>
    <n v="10"/>
    <n v="7"/>
    <n v="0"/>
    <n v="2"/>
    <x v="0"/>
    <x v="0"/>
  </r>
  <r>
    <n v="48"/>
    <s v="No"/>
    <s v="Travel_Frequently"/>
    <n v="365"/>
    <s v="Research &amp; Development"/>
    <n v="4"/>
    <n v="5"/>
    <s v="Medical"/>
    <n v="1"/>
    <n v="1644"/>
    <n v="3"/>
    <s v="Male"/>
    <n v="89"/>
    <n v="2"/>
    <x v="3"/>
    <s v="Manager"/>
    <n v="4"/>
    <s v="Married"/>
    <x v="1080"/>
    <n v="5602"/>
    <n v="2"/>
    <s v="Y"/>
    <s v="No"/>
    <n v="25"/>
    <n v="4"/>
    <n v="2"/>
    <n v="80"/>
    <n v="1"/>
    <n v="23"/>
    <n v="3"/>
    <n v="3"/>
    <n v="2"/>
    <n v="2"/>
    <n v="2"/>
    <n v="2"/>
    <x v="1"/>
    <x v="3"/>
  </r>
  <r>
    <n v="35"/>
    <s v="Yes"/>
    <s v="Travel_Rarely"/>
    <n v="763"/>
    <s v="Sales"/>
    <n v="15"/>
    <n v="2"/>
    <s v="Medical"/>
    <n v="1"/>
    <n v="1645"/>
    <n v="1"/>
    <s v="Male"/>
    <n v="59"/>
    <n v="1"/>
    <x v="0"/>
    <s v="Sales Executive"/>
    <n v="4"/>
    <s v="Divorced"/>
    <x v="1081"/>
    <n v="22098"/>
    <n v="6"/>
    <s v="Y"/>
    <s v="Yes"/>
    <n v="14"/>
    <n v="3"/>
    <n v="4"/>
    <n v="80"/>
    <n v="2"/>
    <n v="7"/>
    <n v="2"/>
    <n v="2"/>
    <n v="2"/>
    <n v="2"/>
    <n v="2"/>
    <n v="2"/>
    <x v="2"/>
    <x v="0"/>
  </r>
  <r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x v="1"/>
    <s v="Research Scientist"/>
    <n v="4"/>
    <s v="Single"/>
    <x v="841"/>
    <n v="17218"/>
    <n v="1"/>
    <s v="Y"/>
    <s v="Yes"/>
    <n v="13"/>
    <n v="3"/>
    <n v="3"/>
    <n v="80"/>
    <n v="0"/>
    <n v="6"/>
    <n v="2"/>
    <n v="3"/>
    <n v="6"/>
    <n v="3"/>
    <n v="1"/>
    <n v="3"/>
    <x v="4"/>
    <x v="0"/>
  </r>
  <r>
    <n v="27"/>
    <s v="No"/>
    <s v="Travel_Rarely"/>
    <n v="486"/>
    <s v="Research &amp; Development"/>
    <n v="8"/>
    <n v="3"/>
    <s v="Medical"/>
    <n v="1"/>
    <n v="1647"/>
    <n v="2"/>
    <s v="Female"/>
    <n v="86"/>
    <n v="4"/>
    <x v="1"/>
    <s v="Research Scientist"/>
    <n v="3"/>
    <s v="Married"/>
    <x v="1082"/>
    <n v="22490"/>
    <n v="7"/>
    <s v="Y"/>
    <s v="No"/>
    <n v="17"/>
    <n v="3"/>
    <n v="1"/>
    <n v="80"/>
    <n v="0"/>
    <n v="5"/>
    <n v="0"/>
    <n v="3"/>
    <n v="3"/>
    <n v="2"/>
    <n v="0"/>
    <n v="2"/>
    <x v="2"/>
    <x v="0"/>
  </r>
  <r>
    <n v="27"/>
    <s v="No"/>
    <s v="Travel_Frequently"/>
    <n v="591"/>
    <s v="Research &amp; Development"/>
    <n v="2"/>
    <n v="3"/>
    <s v="Medical"/>
    <n v="1"/>
    <n v="1648"/>
    <n v="4"/>
    <s v="Male"/>
    <n v="87"/>
    <n v="3"/>
    <x v="1"/>
    <s v="Research Scientist"/>
    <n v="4"/>
    <s v="Single"/>
    <x v="1083"/>
    <n v="6297"/>
    <n v="2"/>
    <s v="Y"/>
    <s v="No"/>
    <n v="13"/>
    <n v="3"/>
    <n v="3"/>
    <n v="80"/>
    <n v="0"/>
    <n v="6"/>
    <n v="0"/>
    <n v="2"/>
    <n v="4"/>
    <n v="2"/>
    <n v="1"/>
    <n v="2"/>
    <x v="2"/>
    <x v="1"/>
  </r>
  <r>
    <n v="40"/>
    <s v="Yes"/>
    <s v="Travel_Rarely"/>
    <n v="1329"/>
    <s v="Research &amp; Development"/>
    <n v="7"/>
    <n v="3"/>
    <s v="Life Sciences"/>
    <n v="1"/>
    <n v="1649"/>
    <n v="1"/>
    <s v="Male"/>
    <n v="73"/>
    <n v="3"/>
    <x v="1"/>
    <s v="Laboratory Technician"/>
    <n v="1"/>
    <s v="Single"/>
    <x v="1084"/>
    <n v="3339"/>
    <n v="3"/>
    <s v="Y"/>
    <s v="Yes"/>
    <n v="14"/>
    <n v="3"/>
    <n v="2"/>
    <n v="80"/>
    <n v="0"/>
    <n v="10"/>
    <n v="3"/>
    <n v="1"/>
    <n v="4"/>
    <n v="2"/>
    <n v="0"/>
    <n v="3"/>
    <x v="0"/>
    <x v="1"/>
  </r>
  <r>
    <n v="29"/>
    <s v="No"/>
    <s v="Travel_Rarely"/>
    <n v="469"/>
    <s v="Sales"/>
    <n v="10"/>
    <n v="3"/>
    <s v="Medical"/>
    <n v="1"/>
    <n v="1650"/>
    <n v="3"/>
    <s v="Male"/>
    <n v="42"/>
    <n v="2"/>
    <x v="0"/>
    <s v="Sales Executive"/>
    <n v="3"/>
    <s v="Single"/>
    <x v="1085"/>
    <n v="23413"/>
    <n v="9"/>
    <s v="Y"/>
    <s v="No"/>
    <n v="11"/>
    <n v="3"/>
    <n v="3"/>
    <n v="80"/>
    <n v="0"/>
    <n v="8"/>
    <n v="2"/>
    <n v="3"/>
    <n v="5"/>
    <n v="2"/>
    <n v="1"/>
    <n v="4"/>
    <x v="2"/>
    <x v="0"/>
  </r>
  <r>
    <n v="36"/>
    <s v="No"/>
    <s v="Travel_Rarely"/>
    <n v="711"/>
    <s v="Research &amp; Development"/>
    <n v="5"/>
    <n v="4"/>
    <s v="Life Sciences"/>
    <n v="1"/>
    <n v="1651"/>
    <n v="2"/>
    <s v="Female"/>
    <n v="42"/>
    <n v="3"/>
    <x v="2"/>
    <s v="Healthcare Representative"/>
    <n v="1"/>
    <s v="Married"/>
    <x v="1086"/>
    <n v="22792"/>
    <n v="4"/>
    <s v="Y"/>
    <s v="No"/>
    <n v="12"/>
    <n v="3"/>
    <n v="3"/>
    <n v="80"/>
    <n v="2"/>
    <n v="9"/>
    <n v="6"/>
    <n v="3"/>
    <n v="3"/>
    <n v="2"/>
    <n v="0"/>
    <n v="2"/>
    <x v="0"/>
    <x v="2"/>
  </r>
  <r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x v="0"/>
    <s v="Manufacturing Director"/>
    <n v="3"/>
    <s v="Divorced"/>
    <x v="1087"/>
    <n v="4973"/>
    <n v="1"/>
    <s v="Y"/>
    <s v="No"/>
    <n v="17"/>
    <n v="3"/>
    <n v="3"/>
    <n v="80"/>
    <n v="2"/>
    <n v="7"/>
    <n v="6"/>
    <n v="3"/>
    <n v="7"/>
    <n v="7"/>
    <n v="0"/>
    <n v="7"/>
    <x v="4"/>
    <x v="0"/>
  </r>
  <r>
    <n v="39"/>
    <s v="No"/>
    <s v="Travel_Rarely"/>
    <n v="492"/>
    <s v="Research &amp; Development"/>
    <n v="12"/>
    <n v="3"/>
    <s v="Medical"/>
    <n v="1"/>
    <n v="1654"/>
    <n v="4"/>
    <s v="Male"/>
    <n v="66"/>
    <n v="3"/>
    <x v="0"/>
    <s v="Manufacturing Director"/>
    <n v="2"/>
    <s v="Married"/>
    <x v="1088"/>
    <n v="7693"/>
    <n v="4"/>
    <s v="Y"/>
    <s v="No"/>
    <n v="21"/>
    <n v="4"/>
    <n v="3"/>
    <n v="80"/>
    <n v="0"/>
    <n v="7"/>
    <n v="3"/>
    <n v="3"/>
    <n v="5"/>
    <n v="4"/>
    <n v="1"/>
    <n v="0"/>
    <x v="0"/>
    <x v="0"/>
  </r>
  <r>
    <n v="49"/>
    <s v="No"/>
    <s v="Travel_Rarely"/>
    <n v="301"/>
    <s v="Research &amp; Development"/>
    <n v="22"/>
    <n v="4"/>
    <s v="Other"/>
    <n v="1"/>
    <n v="1655"/>
    <n v="1"/>
    <s v="Female"/>
    <n v="72"/>
    <n v="3"/>
    <x v="3"/>
    <s v="Research Director"/>
    <n v="2"/>
    <s v="Married"/>
    <x v="1089"/>
    <n v="3498"/>
    <n v="3"/>
    <s v="Y"/>
    <s v="No"/>
    <n v="16"/>
    <n v="3"/>
    <n v="2"/>
    <n v="80"/>
    <n v="2"/>
    <n v="27"/>
    <n v="2"/>
    <n v="3"/>
    <n v="4"/>
    <n v="2"/>
    <n v="1"/>
    <n v="2"/>
    <x v="1"/>
    <x v="3"/>
  </r>
  <r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x v="2"/>
    <s v="Research Director"/>
    <n v="1"/>
    <s v="Divorced"/>
    <x v="1090"/>
    <n v="21981"/>
    <n v="5"/>
    <s v="Y"/>
    <s v="No"/>
    <n v="15"/>
    <n v="3"/>
    <n v="3"/>
    <n v="80"/>
    <n v="3"/>
    <n v="19"/>
    <n v="3"/>
    <n v="3"/>
    <n v="14"/>
    <n v="11"/>
    <n v="1"/>
    <n v="11"/>
    <x v="1"/>
    <x v="3"/>
  </r>
  <r>
    <n v="20"/>
    <s v="No"/>
    <s v="Travel_Rarely"/>
    <n v="1141"/>
    <s v="Sales"/>
    <n v="2"/>
    <n v="3"/>
    <s v="Medical"/>
    <n v="1"/>
    <n v="1657"/>
    <n v="3"/>
    <s v="Female"/>
    <n v="31"/>
    <n v="3"/>
    <x v="1"/>
    <s v="Sales Representative"/>
    <n v="3"/>
    <s v="Single"/>
    <x v="1091"/>
    <n v="13251"/>
    <n v="1"/>
    <s v="Y"/>
    <s v="No"/>
    <n v="19"/>
    <n v="3"/>
    <n v="1"/>
    <n v="80"/>
    <n v="0"/>
    <n v="2"/>
    <n v="3"/>
    <n v="3"/>
    <n v="2"/>
    <n v="2"/>
    <n v="2"/>
    <n v="2"/>
    <x v="4"/>
    <x v="1"/>
  </r>
  <r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x v="0"/>
    <s v="Research Scientist"/>
    <n v="2"/>
    <s v="Divorced"/>
    <x v="1092"/>
    <n v="19332"/>
    <n v="1"/>
    <s v="Y"/>
    <s v="No"/>
    <n v="12"/>
    <n v="3"/>
    <n v="3"/>
    <n v="80"/>
    <n v="1"/>
    <n v="11"/>
    <n v="2"/>
    <n v="3"/>
    <n v="11"/>
    <n v="8"/>
    <n v="7"/>
    <n v="9"/>
    <x v="2"/>
    <x v="0"/>
  </r>
  <r>
    <n v="36"/>
    <s v="No"/>
    <s v="Travel_Rarely"/>
    <n v="311"/>
    <s v="Research &amp; Development"/>
    <n v="7"/>
    <n v="3"/>
    <s v="Life Sciences"/>
    <n v="1"/>
    <n v="1659"/>
    <n v="1"/>
    <s v="Male"/>
    <n v="77"/>
    <n v="3"/>
    <x v="1"/>
    <s v="Laboratory Technician"/>
    <n v="2"/>
    <s v="Single"/>
    <x v="1093"/>
    <n v="10950"/>
    <n v="2"/>
    <s v="Y"/>
    <s v="No"/>
    <n v="11"/>
    <n v="3"/>
    <n v="3"/>
    <n v="80"/>
    <n v="0"/>
    <n v="15"/>
    <n v="4"/>
    <n v="3"/>
    <n v="4"/>
    <n v="3"/>
    <n v="1"/>
    <n v="3"/>
    <x v="0"/>
    <x v="1"/>
  </r>
  <r>
    <n v="49"/>
    <s v="No"/>
    <s v="Travel_Rarely"/>
    <n v="465"/>
    <s v="Research &amp; Development"/>
    <n v="6"/>
    <n v="1"/>
    <s v="Life Sciences"/>
    <n v="1"/>
    <n v="1661"/>
    <n v="3"/>
    <s v="Female"/>
    <n v="41"/>
    <n v="2"/>
    <x v="3"/>
    <s v="Healthcare Representative"/>
    <n v="3"/>
    <s v="Married"/>
    <x v="1094"/>
    <n v="11652"/>
    <n v="2"/>
    <s v="Y"/>
    <s v="Yes"/>
    <n v="19"/>
    <n v="3"/>
    <n v="2"/>
    <n v="80"/>
    <n v="1"/>
    <n v="30"/>
    <n v="3"/>
    <n v="3"/>
    <n v="15"/>
    <n v="11"/>
    <n v="2"/>
    <n v="12"/>
    <x v="1"/>
    <x v="3"/>
  </r>
  <r>
    <n v="36"/>
    <s v="No"/>
    <s v="Non-Travel"/>
    <n v="894"/>
    <s v="Research &amp; Development"/>
    <n v="1"/>
    <n v="4"/>
    <s v="Medical"/>
    <n v="1"/>
    <n v="1662"/>
    <n v="4"/>
    <s v="Female"/>
    <n v="33"/>
    <n v="2"/>
    <x v="0"/>
    <s v="Manufacturing Director"/>
    <n v="3"/>
    <s v="Married"/>
    <x v="1095"/>
    <n v="15411"/>
    <n v="0"/>
    <s v="Y"/>
    <s v="No"/>
    <n v="15"/>
    <n v="3"/>
    <n v="3"/>
    <n v="80"/>
    <n v="0"/>
    <n v="4"/>
    <n v="6"/>
    <n v="3"/>
    <n v="3"/>
    <n v="2"/>
    <n v="1"/>
    <n v="2"/>
    <x v="0"/>
    <x v="0"/>
  </r>
  <r>
    <n v="36"/>
    <s v="No"/>
    <s v="Travel_Rarely"/>
    <n v="1040"/>
    <s v="Research &amp; Development"/>
    <n v="3"/>
    <n v="2"/>
    <s v="Life Sciences"/>
    <n v="1"/>
    <n v="1664"/>
    <n v="4"/>
    <s v="Male"/>
    <n v="79"/>
    <n v="4"/>
    <x v="0"/>
    <s v="Healthcare Representative"/>
    <n v="1"/>
    <s v="Divorced"/>
    <x v="1096"/>
    <n v="26308"/>
    <n v="6"/>
    <s v="Y"/>
    <s v="No"/>
    <n v="20"/>
    <n v="4"/>
    <n v="1"/>
    <n v="80"/>
    <n v="1"/>
    <n v="13"/>
    <n v="3"/>
    <n v="3"/>
    <n v="5"/>
    <n v="4"/>
    <n v="0"/>
    <n v="4"/>
    <x v="0"/>
    <x v="0"/>
  </r>
  <r>
    <n v="54"/>
    <s v="No"/>
    <s v="Travel_Rarely"/>
    <n v="584"/>
    <s v="Research &amp; Development"/>
    <n v="22"/>
    <n v="5"/>
    <s v="Medical"/>
    <n v="1"/>
    <n v="1665"/>
    <n v="2"/>
    <s v="Female"/>
    <n v="91"/>
    <n v="3"/>
    <x v="3"/>
    <s v="Manager"/>
    <n v="3"/>
    <s v="Married"/>
    <x v="1097"/>
    <n v="18685"/>
    <n v="3"/>
    <s v="Y"/>
    <s v="No"/>
    <n v="25"/>
    <n v="4"/>
    <n v="3"/>
    <n v="80"/>
    <n v="1"/>
    <n v="36"/>
    <n v="6"/>
    <n v="3"/>
    <n v="10"/>
    <n v="8"/>
    <n v="4"/>
    <n v="7"/>
    <x v="1"/>
    <x v="3"/>
  </r>
  <r>
    <n v="43"/>
    <s v="No"/>
    <s v="Travel_Rarely"/>
    <n v="1291"/>
    <s v="Research &amp; Development"/>
    <n v="15"/>
    <n v="2"/>
    <s v="Life Sciences"/>
    <n v="1"/>
    <n v="1666"/>
    <n v="3"/>
    <s v="Male"/>
    <n v="65"/>
    <n v="2"/>
    <x v="3"/>
    <s v="Research Director"/>
    <n v="3"/>
    <s v="Married"/>
    <x v="1098"/>
    <n v="3525"/>
    <n v="1"/>
    <s v="Y"/>
    <s v="No"/>
    <n v="24"/>
    <n v="4"/>
    <n v="1"/>
    <n v="80"/>
    <n v="1"/>
    <n v="14"/>
    <n v="3"/>
    <n v="3"/>
    <n v="14"/>
    <n v="10"/>
    <n v="6"/>
    <n v="11"/>
    <x v="0"/>
    <x v="3"/>
  </r>
  <r>
    <n v="35"/>
    <s v="Yes"/>
    <s v="Travel_Frequently"/>
    <n v="880"/>
    <s v="Sales"/>
    <n v="12"/>
    <n v="4"/>
    <s v="Other"/>
    <n v="1"/>
    <n v="1667"/>
    <n v="4"/>
    <s v="Male"/>
    <n v="36"/>
    <n v="3"/>
    <x v="0"/>
    <s v="Sales Executive"/>
    <n v="4"/>
    <s v="Single"/>
    <x v="1099"/>
    <n v="10414"/>
    <n v="3"/>
    <s v="Y"/>
    <s v="Yes"/>
    <n v="24"/>
    <n v="4"/>
    <n v="1"/>
    <n v="80"/>
    <n v="0"/>
    <n v="13"/>
    <n v="2"/>
    <n v="4"/>
    <n v="11"/>
    <n v="9"/>
    <n v="6"/>
    <n v="7"/>
    <x v="2"/>
    <x v="0"/>
  </r>
  <r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x v="0"/>
    <s v="Research Scientist"/>
    <n v="4"/>
    <s v="Married"/>
    <x v="1100"/>
    <n v="9867"/>
    <n v="7"/>
    <s v="Y"/>
    <s v="No"/>
    <n v="15"/>
    <n v="3"/>
    <n v="4"/>
    <n v="80"/>
    <n v="2"/>
    <n v="19"/>
    <n v="4"/>
    <n v="4"/>
    <n v="13"/>
    <n v="11"/>
    <n v="2"/>
    <n v="9"/>
    <x v="0"/>
    <x v="0"/>
  </r>
  <r>
    <n v="29"/>
    <s v="No"/>
    <s v="Travel_Rarely"/>
    <n v="991"/>
    <s v="Sales"/>
    <n v="5"/>
    <n v="3"/>
    <s v="Medical"/>
    <n v="1"/>
    <n v="1669"/>
    <n v="1"/>
    <s v="Male"/>
    <n v="43"/>
    <n v="2"/>
    <x v="0"/>
    <s v="Sales Executive"/>
    <n v="2"/>
    <s v="Divorced"/>
    <x v="1101"/>
    <n v="3356"/>
    <n v="1"/>
    <s v="Y"/>
    <s v="Yes"/>
    <n v="13"/>
    <n v="3"/>
    <n v="2"/>
    <n v="80"/>
    <n v="1"/>
    <n v="10"/>
    <n v="3"/>
    <n v="2"/>
    <n v="10"/>
    <n v="0"/>
    <n v="0"/>
    <n v="9"/>
    <x v="2"/>
    <x v="0"/>
  </r>
  <r>
    <n v="33"/>
    <s v="No"/>
    <s v="Travel_Rarely"/>
    <n v="392"/>
    <s v="Sales"/>
    <n v="2"/>
    <n v="4"/>
    <s v="Medical"/>
    <n v="1"/>
    <n v="1670"/>
    <n v="4"/>
    <s v="Male"/>
    <n v="93"/>
    <n v="3"/>
    <x v="0"/>
    <s v="Sales Executive"/>
    <n v="4"/>
    <s v="Divorced"/>
    <x v="1102"/>
    <n v="3921"/>
    <n v="1"/>
    <s v="Y"/>
    <s v="No"/>
    <n v="14"/>
    <n v="3"/>
    <n v="3"/>
    <n v="80"/>
    <n v="2"/>
    <n v="6"/>
    <n v="5"/>
    <n v="3"/>
    <n v="6"/>
    <n v="2"/>
    <n v="0"/>
    <n v="4"/>
    <x v="2"/>
    <x v="0"/>
  </r>
  <r>
    <n v="32"/>
    <s v="No"/>
    <s v="Travel_Rarely"/>
    <n v="977"/>
    <s v="Research &amp; Development"/>
    <n v="2"/>
    <n v="3"/>
    <s v="Medical"/>
    <n v="1"/>
    <n v="1671"/>
    <n v="4"/>
    <s v="Male"/>
    <n v="45"/>
    <n v="3"/>
    <x v="0"/>
    <s v="Research Scientist"/>
    <n v="2"/>
    <s v="Divorced"/>
    <x v="1103"/>
    <n v="25518"/>
    <n v="0"/>
    <s v="Y"/>
    <s v="No"/>
    <n v="13"/>
    <n v="3"/>
    <n v="3"/>
    <n v="80"/>
    <n v="2"/>
    <n v="10"/>
    <n v="4"/>
    <n v="2"/>
    <n v="9"/>
    <n v="5"/>
    <n v="1"/>
    <n v="6"/>
    <x v="2"/>
    <x v="0"/>
  </r>
  <r>
    <n v="31"/>
    <s v="No"/>
    <s v="Travel_Rarely"/>
    <n v="1112"/>
    <s v="Sales"/>
    <n v="5"/>
    <n v="4"/>
    <s v="Life Sciences"/>
    <n v="1"/>
    <n v="1673"/>
    <n v="1"/>
    <s v="Female"/>
    <n v="67"/>
    <n v="3"/>
    <x v="0"/>
    <s v="Sales Executive"/>
    <n v="4"/>
    <s v="Married"/>
    <x v="1104"/>
    <n v="22589"/>
    <n v="1"/>
    <s v="Y"/>
    <s v="No"/>
    <n v="11"/>
    <n v="3"/>
    <n v="1"/>
    <n v="80"/>
    <n v="2"/>
    <n v="10"/>
    <n v="2"/>
    <n v="3"/>
    <n v="10"/>
    <n v="0"/>
    <n v="0"/>
    <n v="2"/>
    <x v="2"/>
    <x v="0"/>
  </r>
  <r>
    <n v="49"/>
    <s v="No"/>
    <s v="Travel_Rarely"/>
    <n v="464"/>
    <s v="Research &amp; Development"/>
    <n v="16"/>
    <n v="3"/>
    <s v="Medical"/>
    <n v="1"/>
    <n v="1674"/>
    <n v="4"/>
    <s v="Female"/>
    <n v="74"/>
    <n v="3"/>
    <x v="1"/>
    <s v="Laboratory Technician"/>
    <n v="1"/>
    <s v="Divorced"/>
    <x v="1105"/>
    <n v="24941"/>
    <n v="4"/>
    <s v="Y"/>
    <s v="Yes"/>
    <n v="16"/>
    <n v="3"/>
    <n v="2"/>
    <n v="80"/>
    <n v="1"/>
    <n v="17"/>
    <n v="2"/>
    <n v="2"/>
    <n v="2"/>
    <n v="2"/>
    <n v="2"/>
    <n v="2"/>
    <x v="1"/>
    <x v="1"/>
  </r>
  <r>
    <n v="38"/>
    <s v="No"/>
    <s v="Travel_Frequently"/>
    <n v="148"/>
    <s v="Research &amp; Development"/>
    <n v="2"/>
    <n v="3"/>
    <s v="Medical"/>
    <n v="1"/>
    <n v="1675"/>
    <n v="4"/>
    <s v="Female"/>
    <n v="42"/>
    <n v="2"/>
    <x v="1"/>
    <s v="Laboratory Technician"/>
    <n v="2"/>
    <s v="Single"/>
    <x v="1106"/>
    <n v="23826"/>
    <n v="1"/>
    <s v="Y"/>
    <s v="No"/>
    <n v="22"/>
    <n v="4"/>
    <n v="2"/>
    <n v="80"/>
    <n v="0"/>
    <n v="4"/>
    <n v="3"/>
    <n v="3"/>
    <n v="4"/>
    <n v="3"/>
    <n v="3"/>
    <n v="3"/>
    <x v="0"/>
    <x v="1"/>
  </r>
  <r>
    <n v="47"/>
    <s v="No"/>
    <s v="Travel_Rarely"/>
    <n v="1225"/>
    <s v="Sales"/>
    <n v="2"/>
    <n v="4"/>
    <s v="Life Sciences"/>
    <n v="1"/>
    <n v="1676"/>
    <n v="2"/>
    <s v="Female"/>
    <n v="47"/>
    <n v="4"/>
    <x v="3"/>
    <s v="Manager"/>
    <n v="2"/>
    <s v="Divorced"/>
    <x v="1107"/>
    <n v="21086"/>
    <n v="6"/>
    <s v="Y"/>
    <s v="No"/>
    <n v="14"/>
    <n v="3"/>
    <n v="3"/>
    <n v="80"/>
    <n v="3"/>
    <n v="29"/>
    <n v="2"/>
    <n v="3"/>
    <n v="3"/>
    <n v="2"/>
    <n v="1"/>
    <n v="2"/>
    <x v="1"/>
    <x v="3"/>
  </r>
  <r>
    <n v="49"/>
    <s v="No"/>
    <s v="Travel_Rarely"/>
    <n v="809"/>
    <s v="Research &amp; Development"/>
    <n v="1"/>
    <n v="3"/>
    <s v="Life Sciences"/>
    <n v="1"/>
    <n v="1677"/>
    <n v="3"/>
    <s v="Male"/>
    <n v="36"/>
    <n v="3"/>
    <x v="3"/>
    <s v="Manager"/>
    <n v="3"/>
    <s v="Single"/>
    <x v="1108"/>
    <n v="22384"/>
    <n v="4"/>
    <s v="Y"/>
    <s v="No"/>
    <n v="14"/>
    <n v="3"/>
    <n v="1"/>
    <n v="80"/>
    <n v="0"/>
    <n v="23"/>
    <n v="2"/>
    <n v="3"/>
    <n v="8"/>
    <n v="7"/>
    <n v="0"/>
    <n v="0"/>
    <x v="1"/>
    <x v="3"/>
  </r>
  <r>
    <n v="41"/>
    <s v="No"/>
    <s v="Travel_Rarely"/>
    <n v="1206"/>
    <s v="Sales"/>
    <n v="23"/>
    <n v="2"/>
    <s v="Life Sciences"/>
    <n v="1"/>
    <n v="1678"/>
    <n v="4"/>
    <s v="Male"/>
    <n v="80"/>
    <n v="3"/>
    <x v="2"/>
    <s v="Sales Executive"/>
    <n v="3"/>
    <s v="Single"/>
    <x v="1109"/>
    <n v="11591"/>
    <n v="3"/>
    <s v="Y"/>
    <s v="Yes"/>
    <n v="16"/>
    <n v="3"/>
    <n v="4"/>
    <n v="80"/>
    <n v="0"/>
    <n v="21"/>
    <n v="2"/>
    <n v="3"/>
    <n v="2"/>
    <n v="0"/>
    <n v="0"/>
    <n v="2"/>
    <x v="0"/>
    <x v="2"/>
  </r>
  <r>
    <n v="20"/>
    <s v="No"/>
    <s v="Travel_Rarely"/>
    <n v="727"/>
    <s v="Sales"/>
    <n v="9"/>
    <n v="1"/>
    <s v="Life Sciences"/>
    <n v="1"/>
    <n v="1680"/>
    <n v="4"/>
    <s v="Male"/>
    <n v="54"/>
    <n v="3"/>
    <x v="1"/>
    <s v="Sales Representative"/>
    <n v="1"/>
    <s v="Single"/>
    <x v="1110"/>
    <n v="21082"/>
    <n v="1"/>
    <s v="Y"/>
    <s v="No"/>
    <n v="11"/>
    <n v="3"/>
    <n v="1"/>
    <n v="80"/>
    <n v="0"/>
    <n v="2"/>
    <n v="3"/>
    <n v="3"/>
    <n v="2"/>
    <n v="2"/>
    <n v="0"/>
    <n v="2"/>
    <x v="4"/>
    <x v="1"/>
  </r>
  <r>
    <n v="33"/>
    <s v="No"/>
    <s v="Non-Travel"/>
    <n v="530"/>
    <s v="Sales"/>
    <n v="16"/>
    <n v="3"/>
    <s v="Life Sciences"/>
    <n v="1"/>
    <n v="1681"/>
    <n v="3"/>
    <s v="Female"/>
    <n v="36"/>
    <n v="3"/>
    <x v="0"/>
    <s v="Sales Executive"/>
    <n v="4"/>
    <s v="Divorced"/>
    <x v="1111"/>
    <n v="16130"/>
    <n v="1"/>
    <s v="Y"/>
    <s v="Yes"/>
    <n v="25"/>
    <n v="4"/>
    <n v="3"/>
    <n v="80"/>
    <n v="1"/>
    <n v="7"/>
    <n v="2"/>
    <n v="3"/>
    <n v="6"/>
    <n v="5"/>
    <n v="1"/>
    <n v="2"/>
    <x v="2"/>
    <x v="0"/>
  </r>
  <r>
    <n v="36"/>
    <s v="No"/>
    <s v="Travel_Rarely"/>
    <n v="1351"/>
    <s v="Research &amp; Development"/>
    <n v="26"/>
    <n v="4"/>
    <s v="Life Sciences"/>
    <n v="1"/>
    <n v="1682"/>
    <n v="1"/>
    <s v="Male"/>
    <n v="80"/>
    <n v="3"/>
    <x v="0"/>
    <s v="Healthcare Representative"/>
    <n v="3"/>
    <s v="Married"/>
    <x v="1112"/>
    <n v="7419"/>
    <n v="6"/>
    <s v="Y"/>
    <s v="No"/>
    <n v="14"/>
    <n v="3"/>
    <n v="2"/>
    <n v="80"/>
    <n v="2"/>
    <n v="10"/>
    <n v="2"/>
    <n v="2"/>
    <n v="3"/>
    <n v="2"/>
    <n v="0"/>
    <n v="2"/>
    <x v="0"/>
    <x v="0"/>
  </r>
  <r>
    <n v="44"/>
    <s v="No"/>
    <s v="Travel_Rarely"/>
    <n v="528"/>
    <s v="Human Resources"/>
    <n v="1"/>
    <n v="3"/>
    <s v="Life Sciences"/>
    <n v="1"/>
    <n v="1683"/>
    <n v="3"/>
    <s v="Female"/>
    <n v="44"/>
    <n v="3"/>
    <x v="1"/>
    <s v="Human Resources"/>
    <n v="4"/>
    <s v="Divorced"/>
    <x v="1113"/>
    <n v="4167"/>
    <n v="4"/>
    <s v="Y"/>
    <s v="Yes"/>
    <n v="18"/>
    <n v="3"/>
    <n v="1"/>
    <n v="80"/>
    <n v="3"/>
    <n v="8"/>
    <n v="2"/>
    <n v="3"/>
    <n v="2"/>
    <n v="2"/>
    <n v="2"/>
    <n v="2"/>
    <x v="0"/>
    <x v="0"/>
  </r>
  <r>
    <n v="23"/>
    <s v="Yes"/>
    <s v="Travel_Rarely"/>
    <n v="1320"/>
    <s v="Research &amp; Development"/>
    <n v="8"/>
    <n v="1"/>
    <s v="Medical"/>
    <n v="1"/>
    <n v="1684"/>
    <n v="4"/>
    <s v="Male"/>
    <n v="93"/>
    <n v="2"/>
    <x v="1"/>
    <s v="Laboratory Technician"/>
    <n v="3"/>
    <s v="Single"/>
    <x v="1114"/>
    <n v="20586"/>
    <n v="1"/>
    <s v="Y"/>
    <s v="Yes"/>
    <n v="11"/>
    <n v="3"/>
    <n v="1"/>
    <n v="80"/>
    <n v="0"/>
    <n v="5"/>
    <n v="2"/>
    <n v="3"/>
    <n v="5"/>
    <n v="4"/>
    <n v="1"/>
    <n v="2"/>
    <x v="4"/>
    <x v="0"/>
  </r>
  <r>
    <n v="38"/>
    <s v="No"/>
    <s v="Travel_Rarely"/>
    <n v="1495"/>
    <s v="Research &amp; Development"/>
    <n v="4"/>
    <n v="2"/>
    <s v="Medical"/>
    <n v="1"/>
    <n v="1687"/>
    <n v="4"/>
    <s v="Female"/>
    <n v="87"/>
    <n v="3"/>
    <x v="1"/>
    <s v="Laboratory Technician"/>
    <n v="3"/>
    <s v="Married"/>
    <x v="1115"/>
    <n v="26176"/>
    <n v="7"/>
    <s v="Y"/>
    <s v="No"/>
    <n v="19"/>
    <n v="3"/>
    <n v="4"/>
    <n v="80"/>
    <n v="1"/>
    <n v="7"/>
    <n v="5"/>
    <n v="2"/>
    <n v="0"/>
    <n v="0"/>
    <n v="0"/>
    <n v="0"/>
    <x v="0"/>
    <x v="0"/>
  </r>
  <r>
    <n v="53"/>
    <s v="No"/>
    <s v="Travel_Rarely"/>
    <n v="1395"/>
    <s v="Research &amp; Development"/>
    <n v="24"/>
    <n v="4"/>
    <s v="Medical"/>
    <n v="1"/>
    <n v="1689"/>
    <n v="2"/>
    <s v="Male"/>
    <n v="48"/>
    <n v="4"/>
    <x v="2"/>
    <s v="Healthcare Representative"/>
    <n v="4"/>
    <s v="Married"/>
    <x v="1116"/>
    <n v="3458"/>
    <n v="3"/>
    <s v="Y"/>
    <s v="No"/>
    <n v="15"/>
    <n v="3"/>
    <n v="3"/>
    <n v="80"/>
    <n v="0"/>
    <n v="11"/>
    <n v="2"/>
    <n v="3"/>
    <n v="4"/>
    <n v="3"/>
    <n v="1"/>
    <n v="2"/>
    <x v="1"/>
    <x v="2"/>
  </r>
  <r>
    <n v="48"/>
    <s v="Yes"/>
    <s v="Travel_Frequently"/>
    <n v="708"/>
    <s v="Sales"/>
    <n v="7"/>
    <n v="2"/>
    <s v="Medical"/>
    <n v="1"/>
    <n v="1691"/>
    <n v="4"/>
    <s v="Female"/>
    <n v="95"/>
    <n v="3"/>
    <x v="1"/>
    <s v="Sales Representative"/>
    <n v="3"/>
    <s v="Married"/>
    <x v="1117"/>
    <n v="11740"/>
    <n v="2"/>
    <s v="Y"/>
    <s v="Yes"/>
    <n v="11"/>
    <n v="3"/>
    <n v="3"/>
    <n v="80"/>
    <n v="2"/>
    <n v="19"/>
    <n v="3"/>
    <n v="3"/>
    <n v="9"/>
    <n v="7"/>
    <n v="7"/>
    <n v="7"/>
    <x v="1"/>
    <x v="1"/>
  </r>
  <r>
    <n v="32"/>
    <s v="Yes"/>
    <s v="Travel_Rarely"/>
    <n v="1259"/>
    <s v="Research &amp; Development"/>
    <n v="2"/>
    <n v="4"/>
    <s v="Life Sciences"/>
    <n v="1"/>
    <n v="1692"/>
    <n v="4"/>
    <s v="Male"/>
    <n v="95"/>
    <n v="3"/>
    <x v="1"/>
    <s v="Laboratory Technician"/>
    <n v="2"/>
    <s v="Single"/>
    <x v="1118"/>
    <n v="24852"/>
    <n v="1"/>
    <s v="Y"/>
    <s v="No"/>
    <n v="12"/>
    <n v="3"/>
    <n v="1"/>
    <n v="80"/>
    <n v="0"/>
    <n v="1"/>
    <n v="2"/>
    <n v="3"/>
    <n v="1"/>
    <n v="0"/>
    <n v="0"/>
    <n v="0"/>
    <x v="2"/>
    <x v="1"/>
  </r>
  <r>
    <n v="26"/>
    <s v="No"/>
    <s v="Non-Travel"/>
    <n v="786"/>
    <s v="Research &amp; Development"/>
    <n v="7"/>
    <n v="3"/>
    <s v="Medical"/>
    <n v="1"/>
    <n v="1693"/>
    <n v="4"/>
    <s v="Male"/>
    <n v="76"/>
    <n v="3"/>
    <x v="1"/>
    <s v="Laboratory Technician"/>
    <n v="4"/>
    <s v="Single"/>
    <x v="1119"/>
    <n v="11925"/>
    <n v="1"/>
    <s v="Y"/>
    <s v="No"/>
    <n v="20"/>
    <n v="4"/>
    <n v="3"/>
    <n v="80"/>
    <n v="0"/>
    <n v="7"/>
    <n v="5"/>
    <n v="3"/>
    <n v="7"/>
    <n v="7"/>
    <n v="5"/>
    <n v="7"/>
    <x v="2"/>
    <x v="1"/>
  </r>
  <r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x v="1"/>
    <s v="Research Scientist"/>
    <n v="2"/>
    <s v="Divorced"/>
    <x v="1120"/>
    <n v="23737"/>
    <n v="5"/>
    <s v="Y"/>
    <s v="No"/>
    <n v="12"/>
    <n v="3"/>
    <n v="4"/>
    <n v="80"/>
    <n v="1"/>
    <n v="8"/>
    <n v="1"/>
    <n v="3"/>
    <n v="4"/>
    <n v="2"/>
    <n v="1"/>
    <n v="2"/>
    <x v="1"/>
    <x v="0"/>
  </r>
  <r>
    <n v="34"/>
    <s v="No"/>
    <s v="Travel_Rarely"/>
    <n v="1157"/>
    <s v="Research &amp; Development"/>
    <n v="5"/>
    <n v="2"/>
    <s v="Medical"/>
    <n v="1"/>
    <n v="1696"/>
    <n v="2"/>
    <s v="Male"/>
    <n v="57"/>
    <n v="2"/>
    <x v="0"/>
    <s v="Laboratory Technician"/>
    <n v="4"/>
    <s v="Married"/>
    <x v="1121"/>
    <n v="11912"/>
    <n v="1"/>
    <s v="Y"/>
    <s v="No"/>
    <n v="14"/>
    <n v="3"/>
    <n v="3"/>
    <n v="80"/>
    <n v="1"/>
    <n v="15"/>
    <n v="3"/>
    <n v="4"/>
    <n v="15"/>
    <n v="10"/>
    <n v="4"/>
    <n v="13"/>
    <x v="2"/>
    <x v="0"/>
  </r>
  <r>
    <n v="60"/>
    <s v="No"/>
    <s v="Travel_Rarely"/>
    <n v="370"/>
    <s v="Research &amp; Development"/>
    <n v="1"/>
    <n v="4"/>
    <s v="Medical"/>
    <n v="1"/>
    <n v="1697"/>
    <n v="3"/>
    <s v="Male"/>
    <n v="92"/>
    <n v="1"/>
    <x v="2"/>
    <s v="Healthcare Representative"/>
    <n v="4"/>
    <s v="Divorced"/>
    <x v="1122"/>
    <n v="20467"/>
    <n v="3"/>
    <s v="Y"/>
    <s v="No"/>
    <n v="20"/>
    <n v="4"/>
    <n v="3"/>
    <n v="80"/>
    <n v="1"/>
    <n v="19"/>
    <n v="2"/>
    <n v="4"/>
    <n v="1"/>
    <n v="0"/>
    <n v="0"/>
    <n v="0"/>
    <x v="3"/>
    <x v="2"/>
  </r>
  <r>
    <n v="33"/>
    <s v="No"/>
    <s v="Travel_Rarely"/>
    <n v="267"/>
    <s v="Research &amp; Development"/>
    <n v="21"/>
    <n v="3"/>
    <s v="Medical"/>
    <n v="1"/>
    <n v="1698"/>
    <n v="2"/>
    <s v="Male"/>
    <n v="79"/>
    <n v="4"/>
    <x v="1"/>
    <s v="Laboratory Technician"/>
    <n v="2"/>
    <s v="Married"/>
    <x v="14"/>
    <n v="13637"/>
    <n v="1"/>
    <s v="Y"/>
    <s v="No"/>
    <n v="18"/>
    <n v="3"/>
    <n v="4"/>
    <n v="80"/>
    <n v="3"/>
    <n v="14"/>
    <n v="6"/>
    <n v="3"/>
    <n v="14"/>
    <n v="11"/>
    <n v="2"/>
    <n v="13"/>
    <x v="2"/>
    <x v="1"/>
  </r>
  <r>
    <n v="37"/>
    <s v="No"/>
    <s v="Travel_Frequently"/>
    <n v="1278"/>
    <s v="Sales"/>
    <n v="1"/>
    <n v="4"/>
    <s v="Medical"/>
    <n v="1"/>
    <n v="1700"/>
    <n v="3"/>
    <s v="Male"/>
    <n v="31"/>
    <n v="1"/>
    <x v="0"/>
    <s v="Sales Executive"/>
    <n v="4"/>
    <s v="Divorced"/>
    <x v="1123"/>
    <n v="7677"/>
    <n v="1"/>
    <s v="Y"/>
    <s v="No"/>
    <n v="14"/>
    <n v="3"/>
    <n v="3"/>
    <n v="80"/>
    <n v="2"/>
    <n v="6"/>
    <n v="2"/>
    <n v="2"/>
    <n v="6"/>
    <n v="3"/>
    <n v="1"/>
    <n v="3"/>
    <x v="0"/>
    <x v="2"/>
  </r>
  <r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x v="1"/>
    <s v="Research Scientist"/>
    <n v="4"/>
    <s v="Married"/>
    <x v="1124"/>
    <n v="20338"/>
    <n v="1"/>
    <s v="Y"/>
    <s v="No"/>
    <n v="12"/>
    <n v="3"/>
    <n v="2"/>
    <n v="80"/>
    <n v="0"/>
    <n v="10"/>
    <n v="3"/>
    <n v="3"/>
    <n v="10"/>
    <n v="9"/>
    <n v="8"/>
    <n v="7"/>
    <x v="2"/>
    <x v="1"/>
  </r>
  <r>
    <n v="23"/>
    <s v="Yes"/>
    <s v="Travel_Rarely"/>
    <n v="427"/>
    <s v="Sales"/>
    <n v="7"/>
    <n v="3"/>
    <s v="Life Sciences"/>
    <n v="1"/>
    <n v="1702"/>
    <n v="3"/>
    <s v="Male"/>
    <n v="99"/>
    <n v="3"/>
    <x v="1"/>
    <s v="Sales Representative"/>
    <n v="4"/>
    <s v="Divorced"/>
    <x v="1125"/>
    <n v="25103"/>
    <n v="1"/>
    <s v="Y"/>
    <s v="Yes"/>
    <n v="21"/>
    <n v="4"/>
    <n v="2"/>
    <n v="80"/>
    <n v="1"/>
    <n v="3"/>
    <n v="2"/>
    <n v="3"/>
    <n v="3"/>
    <n v="2"/>
    <n v="0"/>
    <n v="2"/>
    <x v="4"/>
    <x v="1"/>
  </r>
  <r>
    <n v="44"/>
    <s v="No"/>
    <s v="Travel_Rarely"/>
    <n v="921"/>
    <s v="Research &amp; Development"/>
    <n v="2"/>
    <n v="3"/>
    <s v="Life Sciences"/>
    <n v="1"/>
    <n v="1703"/>
    <n v="3"/>
    <s v="Female"/>
    <n v="96"/>
    <n v="4"/>
    <x v="2"/>
    <s v="Healthcare Representative"/>
    <n v="4"/>
    <s v="Married"/>
    <x v="1126"/>
    <n v="14810"/>
    <n v="1"/>
    <s v="Y"/>
    <s v="Yes"/>
    <n v="19"/>
    <n v="3"/>
    <n v="2"/>
    <n v="80"/>
    <n v="1"/>
    <n v="9"/>
    <n v="2"/>
    <n v="3"/>
    <n v="8"/>
    <n v="7"/>
    <n v="6"/>
    <n v="7"/>
    <x v="0"/>
    <x v="2"/>
  </r>
  <r>
    <n v="35"/>
    <s v="No"/>
    <s v="Travel_Frequently"/>
    <n v="146"/>
    <s v="Research &amp; Development"/>
    <n v="2"/>
    <n v="4"/>
    <s v="Medical"/>
    <n v="1"/>
    <n v="1704"/>
    <n v="1"/>
    <s v="Male"/>
    <n v="79"/>
    <n v="2"/>
    <x v="1"/>
    <s v="Research Scientist"/>
    <n v="4"/>
    <s v="Single"/>
    <x v="1127"/>
    <n v="13970"/>
    <n v="0"/>
    <s v="Y"/>
    <s v="Yes"/>
    <n v="14"/>
    <n v="3"/>
    <n v="3"/>
    <n v="80"/>
    <n v="0"/>
    <n v="6"/>
    <n v="2"/>
    <n v="4"/>
    <n v="5"/>
    <n v="4"/>
    <n v="1"/>
    <n v="4"/>
    <x v="2"/>
    <x v="0"/>
  </r>
  <r>
    <n v="43"/>
    <s v="No"/>
    <s v="Travel_Rarely"/>
    <n v="1179"/>
    <s v="Sales"/>
    <n v="2"/>
    <n v="3"/>
    <s v="Medical"/>
    <n v="1"/>
    <n v="1706"/>
    <n v="4"/>
    <s v="Male"/>
    <n v="73"/>
    <n v="3"/>
    <x v="0"/>
    <s v="Sales Executive"/>
    <n v="4"/>
    <s v="Married"/>
    <x v="1128"/>
    <n v="6069"/>
    <n v="1"/>
    <s v="Y"/>
    <s v="Yes"/>
    <n v="17"/>
    <n v="3"/>
    <n v="1"/>
    <n v="80"/>
    <n v="1"/>
    <n v="10"/>
    <n v="3"/>
    <n v="3"/>
    <n v="10"/>
    <n v="9"/>
    <n v="8"/>
    <n v="8"/>
    <x v="0"/>
    <x v="2"/>
  </r>
  <r>
    <n v="24"/>
    <s v="No"/>
    <s v="Travel_Rarely"/>
    <n v="581"/>
    <s v="Research &amp; Development"/>
    <n v="9"/>
    <n v="3"/>
    <s v="Medical"/>
    <n v="1"/>
    <n v="1707"/>
    <n v="3"/>
    <s v="Male"/>
    <n v="62"/>
    <n v="4"/>
    <x v="1"/>
    <s v="Research Scientist"/>
    <n v="3"/>
    <s v="Married"/>
    <x v="1129"/>
    <n v="17616"/>
    <n v="1"/>
    <s v="Y"/>
    <s v="No"/>
    <n v="16"/>
    <n v="3"/>
    <n v="4"/>
    <n v="80"/>
    <n v="1"/>
    <n v="5"/>
    <n v="1"/>
    <n v="3"/>
    <n v="5"/>
    <n v="3"/>
    <n v="0"/>
    <n v="4"/>
    <x v="4"/>
    <x v="0"/>
  </r>
  <r>
    <n v="41"/>
    <s v="No"/>
    <s v="Travel_Rarely"/>
    <n v="918"/>
    <s v="Sales"/>
    <n v="6"/>
    <n v="3"/>
    <s v="Marketing"/>
    <n v="1"/>
    <n v="1708"/>
    <n v="4"/>
    <s v="Male"/>
    <n v="35"/>
    <n v="3"/>
    <x v="2"/>
    <s v="Sales Executive"/>
    <n v="3"/>
    <s v="Single"/>
    <x v="1130"/>
    <n v="15869"/>
    <n v="1"/>
    <s v="Y"/>
    <s v="No"/>
    <n v="12"/>
    <n v="3"/>
    <n v="2"/>
    <n v="80"/>
    <n v="0"/>
    <n v="10"/>
    <n v="3"/>
    <n v="3"/>
    <n v="10"/>
    <n v="8"/>
    <n v="8"/>
    <n v="7"/>
    <x v="0"/>
    <x v="2"/>
  </r>
  <r>
    <n v="29"/>
    <s v="No"/>
    <s v="Travel_Rarely"/>
    <n v="1082"/>
    <s v="Research &amp; Development"/>
    <n v="9"/>
    <n v="4"/>
    <s v="Medical"/>
    <n v="1"/>
    <n v="1709"/>
    <n v="4"/>
    <s v="Female"/>
    <n v="43"/>
    <n v="3"/>
    <x v="1"/>
    <s v="Laboratory Technician"/>
    <n v="3"/>
    <s v="Married"/>
    <x v="1131"/>
    <n v="25412"/>
    <n v="9"/>
    <s v="Y"/>
    <s v="No"/>
    <n v="17"/>
    <n v="3"/>
    <n v="3"/>
    <n v="80"/>
    <n v="1"/>
    <n v="9"/>
    <n v="2"/>
    <n v="3"/>
    <n v="5"/>
    <n v="3"/>
    <n v="1"/>
    <n v="2"/>
    <x v="2"/>
    <x v="1"/>
  </r>
  <r>
    <n v="36"/>
    <s v="No"/>
    <s v="Travel_Rarely"/>
    <n v="530"/>
    <s v="Sales"/>
    <n v="2"/>
    <n v="4"/>
    <s v="Life Sciences"/>
    <n v="1"/>
    <n v="1710"/>
    <n v="3"/>
    <s v="Female"/>
    <n v="51"/>
    <n v="3"/>
    <x v="0"/>
    <s v="Sales Representative"/>
    <n v="4"/>
    <s v="Single"/>
    <x v="1132"/>
    <n v="7439"/>
    <n v="3"/>
    <s v="Y"/>
    <s v="No"/>
    <n v="15"/>
    <n v="3"/>
    <n v="3"/>
    <n v="80"/>
    <n v="0"/>
    <n v="17"/>
    <n v="2"/>
    <n v="2"/>
    <n v="13"/>
    <n v="7"/>
    <n v="6"/>
    <n v="7"/>
    <x v="0"/>
    <x v="0"/>
  </r>
  <r>
    <n v="45"/>
    <s v="No"/>
    <s v="Non-Travel"/>
    <n v="1238"/>
    <s v="Research &amp; Development"/>
    <n v="1"/>
    <n v="1"/>
    <s v="Life Sciences"/>
    <n v="1"/>
    <n v="1712"/>
    <n v="3"/>
    <s v="Male"/>
    <n v="74"/>
    <n v="2"/>
    <x v="2"/>
    <s v="Healthcare Representative"/>
    <n v="3"/>
    <s v="Married"/>
    <x v="1133"/>
    <n v="3395"/>
    <n v="3"/>
    <s v="Y"/>
    <s v="No"/>
    <n v="23"/>
    <n v="4"/>
    <n v="4"/>
    <n v="80"/>
    <n v="1"/>
    <n v="25"/>
    <n v="3"/>
    <n v="2"/>
    <n v="23"/>
    <n v="15"/>
    <n v="14"/>
    <n v="4"/>
    <x v="0"/>
    <x v="2"/>
  </r>
  <r>
    <n v="24"/>
    <s v="Yes"/>
    <s v="Travel_Rarely"/>
    <n v="240"/>
    <s v="Human Resources"/>
    <n v="22"/>
    <n v="1"/>
    <s v="Human Resources"/>
    <n v="1"/>
    <n v="1714"/>
    <n v="4"/>
    <s v="Male"/>
    <n v="58"/>
    <n v="1"/>
    <x v="1"/>
    <s v="Human Resources"/>
    <n v="3"/>
    <s v="Married"/>
    <x v="1134"/>
    <n v="11585"/>
    <n v="1"/>
    <s v="Y"/>
    <s v="No"/>
    <n v="11"/>
    <n v="3"/>
    <n v="3"/>
    <n v="80"/>
    <n v="1"/>
    <n v="1"/>
    <n v="2"/>
    <n v="3"/>
    <n v="1"/>
    <n v="0"/>
    <n v="0"/>
    <n v="0"/>
    <x v="4"/>
    <x v="1"/>
  </r>
  <r>
    <n v="47"/>
    <s v="Yes"/>
    <s v="Travel_Frequently"/>
    <n v="1093"/>
    <s v="Sales"/>
    <n v="9"/>
    <n v="3"/>
    <s v="Life Sciences"/>
    <n v="1"/>
    <n v="1716"/>
    <n v="3"/>
    <s v="Male"/>
    <n v="82"/>
    <n v="1"/>
    <x v="3"/>
    <s v="Sales Executive"/>
    <n v="3"/>
    <s v="Married"/>
    <x v="1135"/>
    <n v="24164"/>
    <n v="7"/>
    <s v="Y"/>
    <s v="No"/>
    <n v="11"/>
    <n v="3"/>
    <n v="3"/>
    <n v="80"/>
    <n v="0"/>
    <n v="25"/>
    <n v="3"/>
    <n v="1"/>
    <n v="23"/>
    <n v="5"/>
    <n v="14"/>
    <n v="10"/>
    <x v="1"/>
    <x v="3"/>
  </r>
  <r>
    <n v="26"/>
    <s v="No"/>
    <s v="Travel_Rarely"/>
    <n v="390"/>
    <s v="Research &amp; Development"/>
    <n v="17"/>
    <n v="4"/>
    <s v="Medical"/>
    <n v="1"/>
    <n v="1718"/>
    <n v="4"/>
    <s v="Male"/>
    <n v="62"/>
    <n v="1"/>
    <x v="1"/>
    <s v="Laboratory Technician"/>
    <n v="3"/>
    <s v="Married"/>
    <x v="1136"/>
    <n v="6217"/>
    <n v="1"/>
    <s v="Y"/>
    <s v="No"/>
    <n v="15"/>
    <n v="3"/>
    <n v="3"/>
    <n v="80"/>
    <n v="3"/>
    <n v="3"/>
    <n v="3"/>
    <n v="4"/>
    <n v="3"/>
    <n v="2"/>
    <n v="0"/>
    <n v="2"/>
    <x v="2"/>
    <x v="1"/>
  </r>
  <r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x v="3"/>
    <s v="Research Director"/>
    <n v="2"/>
    <s v="Single"/>
    <x v="1137"/>
    <n v="17119"/>
    <n v="1"/>
    <s v="Y"/>
    <s v="No"/>
    <n v="11"/>
    <n v="3"/>
    <n v="3"/>
    <n v="80"/>
    <n v="0"/>
    <n v="21"/>
    <n v="2"/>
    <n v="3"/>
    <n v="21"/>
    <n v="6"/>
    <n v="8"/>
    <n v="6"/>
    <x v="0"/>
    <x v="3"/>
  </r>
  <r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x v="1"/>
    <s v="Research Scientist"/>
    <n v="3"/>
    <s v="Married"/>
    <x v="1138"/>
    <n v="17360"/>
    <n v="6"/>
    <s v="Y"/>
    <s v="No"/>
    <n v="13"/>
    <n v="3"/>
    <n v="1"/>
    <n v="80"/>
    <n v="1"/>
    <n v="10"/>
    <n v="3"/>
    <n v="2"/>
    <n v="5"/>
    <n v="2"/>
    <n v="1"/>
    <n v="3"/>
    <x v="2"/>
    <x v="0"/>
  </r>
  <r>
    <n v="31"/>
    <s v="No"/>
    <s v="Travel_Rarely"/>
    <n v="741"/>
    <s v="Research &amp; Development"/>
    <n v="2"/>
    <n v="4"/>
    <s v="Life Sciences"/>
    <n v="1"/>
    <n v="1721"/>
    <n v="2"/>
    <s v="Male"/>
    <n v="69"/>
    <n v="3"/>
    <x v="1"/>
    <s v="Laboratory Technician"/>
    <n v="3"/>
    <s v="Married"/>
    <x v="1139"/>
    <n v="18103"/>
    <n v="1"/>
    <s v="Y"/>
    <s v="No"/>
    <n v="14"/>
    <n v="3"/>
    <n v="4"/>
    <n v="80"/>
    <n v="1"/>
    <n v="6"/>
    <n v="2"/>
    <n v="4"/>
    <n v="5"/>
    <n v="2"/>
    <n v="0"/>
    <n v="3"/>
    <x v="2"/>
    <x v="0"/>
  </r>
  <r>
    <n v="41"/>
    <s v="No"/>
    <s v="Non-Travel"/>
    <n v="552"/>
    <s v="Human Resources"/>
    <n v="4"/>
    <n v="3"/>
    <s v="Human Resources"/>
    <n v="1"/>
    <n v="1722"/>
    <n v="3"/>
    <s v="Male"/>
    <n v="60"/>
    <n v="1"/>
    <x v="0"/>
    <s v="Human Resources"/>
    <n v="2"/>
    <s v="Married"/>
    <x v="1140"/>
    <n v="20794"/>
    <n v="6"/>
    <s v="Y"/>
    <s v="No"/>
    <n v="19"/>
    <n v="3"/>
    <n v="2"/>
    <n v="80"/>
    <n v="1"/>
    <n v="10"/>
    <n v="4"/>
    <n v="3"/>
    <n v="3"/>
    <n v="2"/>
    <n v="1"/>
    <n v="2"/>
    <x v="0"/>
    <x v="0"/>
  </r>
  <r>
    <n v="40"/>
    <s v="No"/>
    <s v="Travel_Rarely"/>
    <n v="369"/>
    <s v="Research &amp; Development"/>
    <n v="8"/>
    <n v="2"/>
    <s v="Life Sciences"/>
    <n v="1"/>
    <n v="1724"/>
    <n v="2"/>
    <s v="Female"/>
    <n v="92"/>
    <n v="3"/>
    <x v="0"/>
    <s v="Manufacturing Director"/>
    <n v="1"/>
    <s v="Married"/>
    <x v="1141"/>
    <n v="5041"/>
    <n v="2"/>
    <s v="Y"/>
    <s v="Yes"/>
    <n v="16"/>
    <n v="3"/>
    <n v="2"/>
    <n v="80"/>
    <n v="1"/>
    <n v="18"/>
    <n v="3"/>
    <n v="3"/>
    <n v="1"/>
    <n v="0"/>
    <n v="0"/>
    <n v="0"/>
    <x v="0"/>
    <x v="0"/>
  </r>
  <r>
    <n v="24"/>
    <s v="No"/>
    <s v="Travel_Rarely"/>
    <n v="506"/>
    <s v="Research &amp; Development"/>
    <n v="29"/>
    <n v="1"/>
    <s v="Medical"/>
    <n v="1"/>
    <n v="1725"/>
    <n v="2"/>
    <s v="Male"/>
    <n v="91"/>
    <n v="3"/>
    <x v="1"/>
    <s v="Laboratory Technician"/>
    <n v="1"/>
    <s v="Divorced"/>
    <x v="1142"/>
    <n v="3622"/>
    <n v="1"/>
    <s v="Y"/>
    <s v="No"/>
    <n v="13"/>
    <n v="3"/>
    <n v="2"/>
    <n v="80"/>
    <n v="3"/>
    <n v="6"/>
    <n v="2"/>
    <n v="4"/>
    <n v="6"/>
    <n v="2"/>
    <n v="1"/>
    <n v="2"/>
    <x v="4"/>
    <x v="0"/>
  </r>
  <r>
    <n v="46"/>
    <s v="No"/>
    <s v="Travel_Rarely"/>
    <n v="717"/>
    <s v="Research &amp; Development"/>
    <n v="13"/>
    <n v="4"/>
    <s v="Life Sciences"/>
    <n v="1"/>
    <n v="1727"/>
    <n v="3"/>
    <s v="Male"/>
    <n v="34"/>
    <n v="3"/>
    <x v="0"/>
    <s v="Healthcare Representative"/>
    <n v="2"/>
    <s v="Single"/>
    <x v="622"/>
    <n v="9697"/>
    <n v="6"/>
    <s v="Y"/>
    <s v="No"/>
    <n v="14"/>
    <n v="3"/>
    <n v="4"/>
    <n v="80"/>
    <n v="0"/>
    <n v="19"/>
    <n v="3"/>
    <n v="3"/>
    <n v="10"/>
    <n v="7"/>
    <n v="0"/>
    <n v="9"/>
    <x v="1"/>
    <x v="0"/>
  </r>
  <r>
    <n v="35"/>
    <s v="No"/>
    <s v="Travel_Rarely"/>
    <n v="1370"/>
    <s v="Research &amp; Development"/>
    <n v="27"/>
    <n v="4"/>
    <s v="Life Sciences"/>
    <n v="1"/>
    <n v="1728"/>
    <n v="4"/>
    <s v="Male"/>
    <n v="49"/>
    <n v="3"/>
    <x v="0"/>
    <s v="Manufacturing Director"/>
    <n v="3"/>
    <s v="Married"/>
    <x v="1143"/>
    <n v="5151"/>
    <n v="2"/>
    <s v="Y"/>
    <s v="No"/>
    <n v="16"/>
    <n v="3"/>
    <n v="2"/>
    <n v="80"/>
    <n v="1"/>
    <n v="17"/>
    <n v="3"/>
    <n v="3"/>
    <n v="7"/>
    <n v="7"/>
    <n v="0"/>
    <n v="7"/>
    <x v="2"/>
    <x v="0"/>
  </r>
  <r>
    <n v="30"/>
    <s v="No"/>
    <s v="Travel_Rarely"/>
    <n v="793"/>
    <s v="Research &amp; Development"/>
    <n v="16"/>
    <n v="1"/>
    <s v="Life Sciences"/>
    <n v="1"/>
    <n v="1729"/>
    <n v="2"/>
    <s v="Male"/>
    <n v="33"/>
    <n v="3"/>
    <x v="1"/>
    <s v="Research Scientist"/>
    <n v="4"/>
    <s v="Married"/>
    <x v="1144"/>
    <n v="3811"/>
    <n v="1"/>
    <s v="Y"/>
    <s v="No"/>
    <n v="12"/>
    <n v="3"/>
    <n v="2"/>
    <n v="80"/>
    <n v="1"/>
    <n v="10"/>
    <n v="2"/>
    <n v="2"/>
    <n v="10"/>
    <n v="0"/>
    <n v="0"/>
    <n v="8"/>
    <x v="2"/>
    <x v="1"/>
  </r>
  <r>
    <n v="47"/>
    <s v="No"/>
    <s v="Non-Travel"/>
    <n v="543"/>
    <s v="Sales"/>
    <n v="2"/>
    <n v="4"/>
    <s v="Marketing"/>
    <n v="1"/>
    <n v="1731"/>
    <n v="3"/>
    <s v="Male"/>
    <n v="87"/>
    <n v="3"/>
    <x v="0"/>
    <s v="Sales Executive"/>
    <n v="2"/>
    <s v="Married"/>
    <x v="1145"/>
    <n v="3536"/>
    <n v="7"/>
    <s v="Y"/>
    <s v="No"/>
    <n v="11"/>
    <n v="3"/>
    <n v="4"/>
    <n v="80"/>
    <n v="1"/>
    <n v="4"/>
    <n v="3"/>
    <n v="1"/>
    <n v="1"/>
    <n v="0"/>
    <n v="0"/>
    <n v="0"/>
    <x v="1"/>
    <x v="0"/>
  </r>
  <r>
    <n v="46"/>
    <s v="No"/>
    <s v="Travel_Rarely"/>
    <n v="1277"/>
    <s v="Sales"/>
    <n v="2"/>
    <n v="3"/>
    <s v="Life Sciences"/>
    <n v="1"/>
    <n v="1732"/>
    <n v="3"/>
    <s v="Male"/>
    <n v="74"/>
    <n v="3"/>
    <x v="2"/>
    <s v="Sales Executive"/>
    <n v="4"/>
    <s v="Divorced"/>
    <x v="1146"/>
    <n v="5596"/>
    <n v="4"/>
    <s v="Y"/>
    <s v="Yes"/>
    <n v="12"/>
    <n v="3"/>
    <n v="2"/>
    <n v="80"/>
    <n v="1"/>
    <n v="13"/>
    <n v="5"/>
    <n v="2"/>
    <n v="10"/>
    <n v="6"/>
    <n v="0"/>
    <n v="3"/>
    <x v="1"/>
    <x v="2"/>
  </r>
  <r>
    <n v="36"/>
    <s v="Yes"/>
    <s v="Travel_Rarely"/>
    <n v="1456"/>
    <s v="Sales"/>
    <n v="13"/>
    <n v="5"/>
    <s v="Marketing"/>
    <n v="1"/>
    <n v="1733"/>
    <n v="2"/>
    <s v="Male"/>
    <n v="96"/>
    <n v="2"/>
    <x v="0"/>
    <s v="Sales Executive"/>
    <n v="1"/>
    <s v="Divorced"/>
    <x v="1147"/>
    <n v="8658"/>
    <n v="5"/>
    <s v="Y"/>
    <s v="Yes"/>
    <n v="13"/>
    <n v="3"/>
    <n v="2"/>
    <n v="80"/>
    <n v="3"/>
    <n v="16"/>
    <n v="3"/>
    <n v="3"/>
    <n v="2"/>
    <n v="2"/>
    <n v="2"/>
    <n v="2"/>
    <x v="0"/>
    <x v="0"/>
  </r>
  <r>
    <n v="32"/>
    <s v="Yes"/>
    <s v="Travel_Rarely"/>
    <n v="964"/>
    <s v="Sales"/>
    <n v="1"/>
    <n v="2"/>
    <s v="Life Sciences"/>
    <n v="1"/>
    <n v="1734"/>
    <n v="1"/>
    <s v="Male"/>
    <n v="34"/>
    <n v="1"/>
    <x v="0"/>
    <s v="Sales Executive"/>
    <n v="2"/>
    <s v="Single"/>
    <x v="1148"/>
    <n v="12147"/>
    <n v="6"/>
    <s v="Y"/>
    <s v="No"/>
    <n v="15"/>
    <n v="3"/>
    <n v="2"/>
    <n v="80"/>
    <n v="0"/>
    <n v="10"/>
    <n v="2"/>
    <n v="3"/>
    <n v="0"/>
    <n v="0"/>
    <n v="0"/>
    <n v="0"/>
    <x v="2"/>
    <x v="0"/>
  </r>
  <r>
    <n v="23"/>
    <s v="No"/>
    <s v="Travel_Rarely"/>
    <n v="160"/>
    <s v="Research &amp; Development"/>
    <n v="4"/>
    <n v="1"/>
    <s v="Medical"/>
    <n v="1"/>
    <n v="1735"/>
    <n v="3"/>
    <s v="Female"/>
    <n v="51"/>
    <n v="3"/>
    <x v="1"/>
    <s v="Laboratory Technician"/>
    <n v="2"/>
    <s v="Single"/>
    <x v="1149"/>
    <n v="12862"/>
    <n v="1"/>
    <s v="Y"/>
    <s v="No"/>
    <n v="13"/>
    <n v="3"/>
    <n v="3"/>
    <n v="80"/>
    <n v="0"/>
    <n v="3"/>
    <n v="3"/>
    <n v="1"/>
    <n v="3"/>
    <n v="2"/>
    <n v="1"/>
    <n v="2"/>
    <x v="4"/>
    <x v="0"/>
  </r>
  <r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x v="0"/>
    <s v="Manufacturing Director"/>
    <n v="4"/>
    <s v="Single"/>
    <x v="319"/>
    <n v="6670"/>
    <n v="2"/>
    <s v="Y"/>
    <s v="No"/>
    <n v="20"/>
    <n v="4"/>
    <n v="4"/>
    <n v="80"/>
    <n v="0"/>
    <n v="9"/>
    <n v="3"/>
    <n v="2"/>
    <n v="5"/>
    <n v="4"/>
    <n v="1"/>
    <n v="4"/>
    <x v="2"/>
    <x v="0"/>
  </r>
  <r>
    <n v="39"/>
    <s v="No"/>
    <s v="Non-Travel"/>
    <n v="792"/>
    <s v="Research &amp; Development"/>
    <n v="1"/>
    <n v="3"/>
    <s v="Life Sciences"/>
    <n v="1"/>
    <n v="1737"/>
    <n v="4"/>
    <s v="Male"/>
    <n v="77"/>
    <n v="3"/>
    <x v="0"/>
    <s v="Laboratory Technician"/>
    <n v="4"/>
    <s v="Married"/>
    <x v="1150"/>
    <n v="8989"/>
    <n v="1"/>
    <s v="Y"/>
    <s v="Yes"/>
    <n v="15"/>
    <n v="3"/>
    <n v="4"/>
    <n v="80"/>
    <n v="1"/>
    <n v="9"/>
    <n v="2"/>
    <n v="3"/>
    <n v="9"/>
    <n v="8"/>
    <n v="5"/>
    <n v="8"/>
    <x v="0"/>
    <x v="0"/>
  </r>
  <r>
    <n v="32"/>
    <s v="No"/>
    <s v="Travel_Rarely"/>
    <n v="371"/>
    <s v="Sales"/>
    <n v="19"/>
    <n v="3"/>
    <s v="Life Sciences"/>
    <n v="1"/>
    <n v="1739"/>
    <n v="4"/>
    <s v="Male"/>
    <n v="80"/>
    <n v="1"/>
    <x v="2"/>
    <s v="Sales Executive"/>
    <n v="3"/>
    <s v="Married"/>
    <x v="1151"/>
    <n v="3840"/>
    <n v="3"/>
    <s v="Y"/>
    <s v="No"/>
    <n v="13"/>
    <n v="3"/>
    <n v="3"/>
    <n v="80"/>
    <n v="1"/>
    <n v="10"/>
    <n v="2"/>
    <n v="1"/>
    <n v="4"/>
    <n v="3"/>
    <n v="0"/>
    <n v="2"/>
    <x v="2"/>
    <x v="2"/>
  </r>
  <r>
    <n v="40"/>
    <s v="No"/>
    <s v="Travel_Rarely"/>
    <n v="611"/>
    <s v="Sales"/>
    <n v="7"/>
    <n v="4"/>
    <s v="Medical"/>
    <n v="1"/>
    <n v="1740"/>
    <n v="2"/>
    <s v="Male"/>
    <n v="88"/>
    <n v="3"/>
    <x v="4"/>
    <s v="Manager"/>
    <n v="2"/>
    <s v="Single"/>
    <x v="1152"/>
    <n v="4349"/>
    <n v="1"/>
    <s v="Y"/>
    <s v="No"/>
    <n v="14"/>
    <n v="3"/>
    <n v="2"/>
    <n v="80"/>
    <n v="0"/>
    <n v="21"/>
    <n v="3"/>
    <n v="2"/>
    <n v="21"/>
    <n v="8"/>
    <n v="12"/>
    <n v="8"/>
    <x v="0"/>
    <x v="3"/>
  </r>
  <r>
    <n v="45"/>
    <s v="No"/>
    <s v="Travel_Rarely"/>
    <n v="176"/>
    <s v="Human Resources"/>
    <n v="4"/>
    <n v="3"/>
    <s v="Life Sciences"/>
    <n v="1"/>
    <n v="1744"/>
    <n v="3"/>
    <s v="Female"/>
    <n v="56"/>
    <n v="1"/>
    <x v="2"/>
    <s v="Human Resources"/>
    <n v="3"/>
    <s v="Married"/>
    <x v="1153"/>
    <n v="6595"/>
    <n v="4"/>
    <s v="Y"/>
    <s v="No"/>
    <n v="21"/>
    <n v="4"/>
    <n v="3"/>
    <n v="80"/>
    <n v="2"/>
    <n v="9"/>
    <n v="2"/>
    <n v="4"/>
    <n v="5"/>
    <n v="0"/>
    <n v="0"/>
    <n v="3"/>
    <x v="0"/>
    <x v="2"/>
  </r>
  <r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x v="1"/>
    <s v="Research Scientist"/>
    <n v="1"/>
    <s v="Single"/>
    <x v="775"/>
    <n v="26427"/>
    <n v="0"/>
    <s v="Y"/>
    <s v="No"/>
    <n v="16"/>
    <n v="3"/>
    <n v="4"/>
    <n v="80"/>
    <n v="0"/>
    <n v="10"/>
    <n v="2"/>
    <n v="3"/>
    <n v="9"/>
    <n v="7"/>
    <n v="0"/>
    <n v="7"/>
    <x v="2"/>
    <x v="0"/>
  </r>
  <r>
    <n v="24"/>
    <s v="No"/>
    <s v="Travel_Frequently"/>
    <n v="897"/>
    <s v="Human Resources"/>
    <n v="10"/>
    <n v="3"/>
    <s v="Medical"/>
    <n v="1"/>
    <n v="1746"/>
    <n v="1"/>
    <s v="Male"/>
    <n v="59"/>
    <n v="3"/>
    <x v="1"/>
    <s v="Human Resources"/>
    <n v="4"/>
    <s v="Married"/>
    <x v="1154"/>
    <n v="2097"/>
    <n v="0"/>
    <s v="Y"/>
    <s v="No"/>
    <n v="14"/>
    <n v="3"/>
    <n v="4"/>
    <n v="80"/>
    <n v="1"/>
    <n v="3"/>
    <n v="2"/>
    <n v="3"/>
    <n v="2"/>
    <n v="2"/>
    <n v="2"/>
    <n v="1"/>
    <x v="4"/>
    <x v="1"/>
  </r>
  <r>
    <n v="30"/>
    <s v="Yes"/>
    <s v="Travel_Frequently"/>
    <n v="600"/>
    <s v="Human Resources"/>
    <n v="8"/>
    <n v="3"/>
    <s v="Human Resources"/>
    <n v="1"/>
    <n v="1747"/>
    <n v="3"/>
    <s v="Female"/>
    <n v="66"/>
    <n v="2"/>
    <x v="1"/>
    <s v="Human Resources"/>
    <n v="4"/>
    <s v="Divorced"/>
    <x v="1155"/>
    <n v="9732"/>
    <n v="6"/>
    <s v="Y"/>
    <s v="No"/>
    <n v="11"/>
    <n v="3"/>
    <n v="3"/>
    <n v="80"/>
    <n v="1"/>
    <n v="6"/>
    <n v="0"/>
    <n v="2"/>
    <n v="4"/>
    <n v="2"/>
    <n v="1"/>
    <n v="2"/>
    <x v="2"/>
    <x v="1"/>
  </r>
  <r>
    <n v="31"/>
    <s v="No"/>
    <s v="Travel_Rarely"/>
    <n v="1003"/>
    <s v="Sales"/>
    <n v="5"/>
    <n v="3"/>
    <s v="Technical Degree"/>
    <n v="1"/>
    <n v="1749"/>
    <n v="1"/>
    <s v="Male"/>
    <n v="51"/>
    <n v="3"/>
    <x v="0"/>
    <s v="Sales Executive"/>
    <n v="3"/>
    <s v="Married"/>
    <x v="1156"/>
    <n v="20943"/>
    <n v="1"/>
    <s v="Y"/>
    <s v="No"/>
    <n v="19"/>
    <n v="3"/>
    <n v="3"/>
    <n v="80"/>
    <n v="1"/>
    <n v="6"/>
    <n v="3"/>
    <n v="3"/>
    <n v="5"/>
    <n v="2"/>
    <n v="0"/>
    <n v="2"/>
    <x v="2"/>
    <x v="2"/>
  </r>
  <r>
    <n v="27"/>
    <s v="No"/>
    <s v="Travel_Rarely"/>
    <n v="1054"/>
    <s v="Research &amp; Development"/>
    <n v="8"/>
    <n v="3"/>
    <s v="Medical"/>
    <n v="1"/>
    <n v="1751"/>
    <n v="3"/>
    <s v="Female"/>
    <n v="67"/>
    <n v="3"/>
    <x v="1"/>
    <s v="Research Scientist"/>
    <n v="4"/>
    <s v="Single"/>
    <x v="1157"/>
    <n v="6152"/>
    <n v="1"/>
    <s v="Y"/>
    <s v="No"/>
    <n v="11"/>
    <n v="3"/>
    <n v="3"/>
    <n v="80"/>
    <n v="0"/>
    <n v="6"/>
    <n v="5"/>
    <n v="2"/>
    <n v="6"/>
    <n v="2"/>
    <n v="1"/>
    <n v="4"/>
    <x v="2"/>
    <x v="0"/>
  </r>
  <r>
    <n v="29"/>
    <s v="Yes"/>
    <s v="Travel_Rarely"/>
    <n v="428"/>
    <s v="Sales"/>
    <n v="9"/>
    <n v="3"/>
    <s v="Marketing"/>
    <n v="1"/>
    <n v="1752"/>
    <n v="2"/>
    <s v="Female"/>
    <n v="52"/>
    <n v="1"/>
    <x v="1"/>
    <s v="Sales Representative"/>
    <n v="2"/>
    <s v="Single"/>
    <x v="1158"/>
    <n v="14630"/>
    <n v="1"/>
    <s v="Y"/>
    <s v="No"/>
    <n v="13"/>
    <n v="3"/>
    <n v="3"/>
    <n v="80"/>
    <n v="0"/>
    <n v="2"/>
    <n v="3"/>
    <n v="3"/>
    <n v="2"/>
    <n v="2"/>
    <n v="2"/>
    <n v="2"/>
    <x v="2"/>
    <x v="1"/>
  </r>
  <r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x v="0"/>
    <s v="Healthcare Representative"/>
    <n v="3"/>
    <s v="Single"/>
    <x v="1159"/>
    <n v="23060"/>
    <n v="8"/>
    <s v="Y"/>
    <s v="Yes"/>
    <n v="12"/>
    <n v="3"/>
    <n v="4"/>
    <n v="80"/>
    <n v="0"/>
    <n v="10"/>
    <n v="5"/>
    <n v="4"/>
    <n v="3"/>
    <n v="2"/>
    <n v="0"/>
    <n v="2"/>
    <x v="2"/>
    <x v="0"/>
  </r>
  <r>
    <n v="30"/>
    <s v="No"/>
    <s v="Travel_Rarely"/>
    <n v="979"/>
    <s v="Sales"/>
    <n v="15"/>
    <n v="2"/>
    <s v="Marketing"/>
    <n v="1"/>
    <n v="1754"/>
    <n v="3"/>
    <s v="Male"/>
    <n v="94"/>
    <n v="2"/>
    <x v="2"/>
    <s v="Sales Executive"/>
    <n v="1"/>
    <s v="Divorced"/>
    <x v="1160"/>
    <n v="3088"/>
    <n v="2"/>
    <s v="Y"/>
    <s v="No"/>
    <n v="11"/>
    <n v="3"/>
    <n v="1"/>
    <n v="80"/>
    <n v="1"/>
    <n v="12"/>
    <n v="2"/>
    <n v="3"/>
    <n v="7"/>
    <n v="7"/>
    <n v="1"/>
    <n v="7"/>
    <x v="2"/>
    <x v="2"/>
  </r>
  <r>
    <n v="34"/>
    <s v="No"/>
    <s v="Travel_Rarely"/>
    <n v="181"/>
    <s v="Research &amp; Development"/>
    <n v="2"/>
    <n v="4"/>
    <s v="Medical"/>
    <n v="1"/>
    <n v="1755"/>
    <n v="4"/>
    <s v="Male"/>
    <n v="97"/>
    <n v="4"/>
    <x v="1"/>
    <s v="Research Scientist"/>
    <n v="4"/>
    <s v="Married"/>
    <x v="1161"/>
    <n v="5586"/>
    <n v="0"/>
    <s v="Y"/>
    <s v="Yes"/>
    <n v="14"/>
    <n v="3"/>
    <n v="1"/>
    <n v="80"/>
    <n v="3"/>
    <n v="6"/>
    <n v="3"/>
    <n v="3"/>
    <n v="5"/>
    <n v="0"/>
    <n v="1"/>
    <n v="2"/>
    <x v="2"/>
    <x v="1"/>
  </r>
  <r>
    <n v="33"/>
    <s v="No"/>
    <s v="Non-Travel"/>
    <n v="1283"/>
    <s v="Sales"/>
    <n v="2"/>
    <n v="3"/>
    <s v="Marketing"/>
    <n v="1"/>
    <n v="1756"/>
    <n v="4"/>
    <s v="Female"/>
    <n v="62"/>
    <n v="3"/>
    <x v="0"/>
    <s v="Sales Executive"/>
    <n v="2"/>
    <s v="Single"/>
    <x v="1162"/>
    <n v="10697"/>
    <n v="8"/>
    <s v="Y"/>
    <s v="No"/>
    <n v="15"/>
    <n v="3"/>
    <n v="4"/>
    <n v="80"/>
    <n v="0"/>
    <n v="13"/>
    <n v="2"/>
    <n v="2"/>
    <n v="11"/>
    <n v="7"/>
    <n v="1"/>
    <n v="7"/>
    <x v="2"/>
    <x v="0"/>
  </r>
  <r>
    <n v="49"/>
    <s v="No"/>
    <s v="Travel_Rarely"/>
    <n v="1313"/>
    <s v="Sales"/>
    <n v="11"/>
    <n v="4"/>
    <s v="Marketing"/>
    <n v="1"/>
    <n v="1757"/>
    <n v="4"/>
    <s v="Female"/>
    <n v="80"/>
    <n v="3"/>
    <x v="0"/>
    <s v="Sales Executive"/>
    <n v="4"/>
    <s v="Single"/>
    <x v="1163"/>
    <n v="8191"/>
    <n v="3"/>
    <s v="Y"/>
    <s v="No"/>
    <n v="12"/>
    <n v="3"/>
    <n v="3"/>
    <n v="80"/>
    <n v="0"/>
    <n v="8"/>
    <n v="1"/>
    <n v="4"/>
    <n v="5"/>
    <n v="1"/>
    <n v="0"/>
    <n v="4"/>
    <x v="1"/>
    <x v="0"/>
  </r>
  <r>
    <n v="33"/>
    <s v="Yes"/>
    <s v="Travel_Rarely"/>
    <n v="211"/>
    <s v="Sales"/>
    <n v="16"/>
    <n v="3"/>
    <s v="Life Sciences"/>
    <n v="1"/>
    <n v="1758"/>
    <n v="1"/>
    <s v="Female"/>
    <n v="74"/>
    <n v="3"/>
    <x v="2"/>
    <s v="Sales Executive"/>
    <n v="1"/>
    <s v="Single"/>
    <x v="1164"/>
    <n v="10092"/>
    <n v="2"/>
    <s v="Y"/>
    <s v="Yes"/>
    <n v="20"/>
    <n v="4"/>
    <n v="3"/>
    <n v="80"/>
    <n v="0"/>
    <n v="11"/>
    <n v="2"/>
    <n v="2"/>
    <n v="0"/>
    <n v="0"/>
    <n v="0"/>
    <n v="0"/>
    <x v="2"/>
    <x v="2"/>
  </r>
  <r>
    <n v="38"/>
    <s v="No"/>
    <s v="Travel_Frequently"/>
    <n v="594"/>
    <s v="Research &amp; Development"/>
    <n v="2"/>
    <n v="2"/>
    <s v="Medical"/>
    <n v="1"/>
    <n v="1760"/>
    <n v="3"/>
    <s v="Female"/>
    <n v="75"/>
    <n v="2"/>
    <x v="1"/>
    <s v="Laboratory Technician"/>
    <n v="2"/>
    <s v="Married"/>
    <x v="1165"/>
    <n v="15963"/>
    <n v="4"/>
    <s v="Y"/>
    <s v="No"/>
    <n v="14"/>
    <n v="3"/>
    <n v="2"/>
    <n v="80"/>
    <n v="1"/>
    <n v="9"/>
    <n v="4"/>
    <n v="2"/>
    <n v="6"/>
    <n v="1"/>
    <n v="0"/>
    <n v="5"/>
    <x v="0"/>
    <x v="1"/>
  </r>
  <r>
    <n v="31"/>
    <s v="Yes"/>
    <s v="Travel_Rarely"/>
    <n v="1079"/>
    <s v="Sales"/>
    <n v="16"/>
    <n v="4"/>
    <s v="Marketing"/>
    <n v="1"/>
    <n v="1761"/>
    <n v="1"/>
    <s v="Male"/>
    <n v="70"/>
    <n v="3"/>
    <x v="2"/>
    <s v="Sales Executive"/>
    <n v="3"/>
    <s v="Married"/>
    <x v="1166"/>
    <n v="19002"/>
    <n v="2"/>
    <s v="Y"/>
    <s v="No"/>
    <n v="13"/>
    <n v="3"/>
    <n v="1"/>
    <n v="80"/>
    <n v="3"/>
    <n v="10"/>
    <n v="2"/>
    <n v="3"/>
    <n v="1"/>
    <n v="0"/>
    <n v="0"/>
    <n v="0"/>
    <x v="2"/>
    <x v="2"/>
  </r>
  <r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x v="1"/>
    <s v="Research Scientist"/>
    <n v="1"/>
    <s v="Divorced"/>
    <x v="971"/>
    <n v="10007"/>
    <n v="1"/>
    <s v="Y"/>
    <s v="No"/>
    <n v="13"/>
    <n v="3"/>
    <n v="3"/>
    <n v="80"/>
    <n v="1"/>
    <n v="1"/>
    <n v="2"/>
    <n v="3"/>
    <n v="1"/>
    <n v="0"/>
    <n v="0"/>
    <n v="0"/>
    <x v="2"/>
    <x v="1"/>
  </r>
  <r>
    <n v="30"/>
    <s v="No"/>
    <s v="Travel_Rarely"/>
    <n v="305"/>
    <s v="Research &amp; Development"/>
    <n v="16"/>
    <n v="3"/>
    <s v="Life Sciences"/>
    <n v="1"/>
    <n v="1763"/>
    <n v="3"/>
    <s v="Male"/>
    <n v="58"/>
    <n v="4"/>
    <x v="0"/>
    <s v="Healthcare Representative"/>
    <n v="3"/>
    <s v="Married"/>
    <x v="1167"/>
    <n v="9128"/>
    <n v="3"/>
    <s v="Y"/>
    <s v="No"/>
    <n v="16"/>
    <n v="3"/>
    <n v="3"/>
    <n v="80"/>
    <n v="1"/>
    <n v="10"/>
    <n v="3"/>
    <n v="3"/>
    <n v="7"/>
    <n v="0"/>
    <n v="1"/>
    <n v="7"/>
    <x v="2"/>
    <x v="0"/>
  </r>
  <r>
    <n v="32"/>
    <s v="No"/>
    <s v="Non-Travel"/>
    <n v="953"/>
    <s v="Research &amp; Development"/>
    <n v="5"/>
    <n v="4"/>
    <s v="Technical Degree"/>
    <n v="1"/>
    <n v="1764"/>
    <n v="2"/>
    <s v="Male"/>
    <n v="65"/>
    <n v="3"/>
    <x v="1"/>
    <s v="Research Scientist"/>
    <n v="2"/>
    <s v="Single"/>
    <x v="1168"/>
    <n v="17674"/>
    <n v="2"/>
    <s v="Y"/>
    <s v="No"/>
    <n v="14"/>
    <n v="3"/>
    <n v="2"/>
    <n v="80"/>
    <n v="0"/>
    <n v="12"/>
    <n v="3"/>
    <n v="3"/>
    <n v="7"/>
    <n v="7"/>
    <n v="0"/>
    <n v="7"/>
    <x v="2"/>
    <x v="1"/>
  </r>
  <r>
    <n v="38"/>
    <s v="No"/>
    <s v="Travel_Rarely"/>
    <n v="833"/>
    <s v="Research &amp; Development"/>
    <n v="18"/>
    <n v="3"/>
    <s v="Medical"/>
    <n v="1"/>
    <n v="1766"/>
    <n v="2"/>
    <s v="Male"/>
    <n v="60"/>
    <n v="1"/>
    <x v="0"/>
    <s v="Healthcare Representative"/>
    <n v="4"/>
    <s v="Married"/>
    <x v="1169"/>
    <n v="24539"/>
    <n v="3"/>
    <s v="Y"/>
    <s v="Yes"/>
    <n v="16"/>
    <n v="3"/>
    <n v="3"/>
    <n v="80"/>
    <n v="1"/>
    <n v="15"/>
    <n v="2"/>
    <n v="3"/>
    <n v="1"/>
    <n v="0"/>
    <n v="1"/>
    <n v="0"/>
    <x v="0"/>
    <x v="0"/>
  </r>
  <r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x v="1"/>
    <s v="Research Scientist"/>
    <n v="3"/>
    <s v="Married"/>
    <x v="1170"/>
    <n v="15587"/>
    <n v="9"/>
    <s v="Y"/>
    <s v="Yes"/>
    <n v="16"/>
    <n v="3"/>
    <n v="4"/>
    <n v="80"/>
    <n v="1"/>
    <n v="6"/>
    <n v="4"/>
    <n v="3"/>
    <n v="1"/>
    <n v="0"/>
    <n v="0"/>
    <n v="0"/>
    <x v="0"/>
    <x v="1"/>
  </r>
  <r>
    <n v="42"/>
    <s v="No"/>
    <s v="Travel_Rarely"/>
    <n v="855"/>
    <s v="Research &amp; Development"/>
    <n v="12"/>
    <n v="3"/>
    <s v="Medical"/>
    <n v="1"/>
    <n v="1768"/>
    <n v="2"/>
    <s v="Male"/>
    <n v="57"/>
    <n v="3"/>
    <x v="1"/>
    <s v="Laboratory Technician"/>
    <n v="2"/>
    <s v="Divorced"/>
    <x v="1171"/>
    <n v="8952"/>
    <n v="8"/>
    <s v="Y"/>
    <s v="No"/>
    <n v="22"/>
    <n v="4"/>
    <n v="2"/>
    <n v="80"/>
    <n v="3"/>
    <n v="7"/>
    <n v="6"/>
    <n v="2"/>
    <n v="5"/>
    <n v="3"/>
    <n v="0"/>
    <n v="4"/>
    <x v="0"/>
    <x v="1"/>
  </r>
  <r>
    <n v="55"/>
    <s v="No"/>
    <s v="Travel_Rarely"/>
    <n v="478"/>
    <s v="Research &amp; Development"/>
    <n v="2"/>
    <n v="3"/>
    <s v="Medical"/>
    <n v="1"/>
    <n v="1770"/>
    <n v="3"/>
    <s v="Male"/>
    <n v="60"/>
    <n v="2"/>
    <x v="4"/>
    <s v="Research Director"/>
    <n v="1"/>
    <s v="Married"/>
    <x v="1172"/>
    <n v="19805"/>
    <n v="8"/>
    <s v="Y"/>
    <s v="No"/>
    <n v="12"/>
    <n v="3"/>
    <n v="2"/>
    <n v="80"/>
    <n v="3"/>
    <n v="34"/>
    <n v="2"/>
    <n v="3"/>
    <n v="1"/>
    <n v="0"/>
    <n v="0"/>
    <n v="0"/>
    <x v="1"/>
    <x v="3"/>
  </r>
  <r>
    <n v="33"/>
    <s v="No"/>
    <s v="Non-Travel"/>
    <n v="775"/>
    <s v="Research &amp; Development"/>
    <n v="4"/>
    <n v="3"/>
    <s v="Technical Degree"/>
    <n v="1"/>
    <n v="1771"/>
    <n v="4"/>
    <s v="Male"/>
    <n v="90"/>
    <n v="3"/>
    <x v="0"/>
    <s v="Research Scientist"/>
    <n v="2"/>
    <s v="Divorced"/>
    <x v="1173"/>
    <n v="6194"/>
    <n v="5"/>
    <s v="Y"/>
    <s v="No"/>
    <n v="15"/>
    <n v="3"/>
    <n v="4"/>
    <n v="80"/>
    <n v="2"/>
    <n v="11"/>
    <n v="2"/>
    <n v="2"/>
    <n v="9"/>
    <n v="8"/>
    <n v="1"/>
    <n v="7"/>
    <x v="2"/>
    <x v="0"/>
  </r>
  <r>
    <n v="41"/>
    <s v="No"/>
    <s v="Travel_Rarely"/>
    <n v="548"/>
    <s v="Research &amp; Development"/>
    <n v="9"/>
    <n v="4"/>
    <s v="Life Sciences"/>
    <n v="1"/>
    <n v="1772"/>
    <n v="3"/>
    <s v="Male"/>
    <n v="94"/>
    <n v="3"/>
    <x v="1"/>
    <s v="Laboratory Technician"/>
    <n v="1"/>
    <s v="Divorced"/>
    <x v="1174"/>
    <n v="20520"/>
    <n v="1"/>
    <s v="Y"/>
    <s v="No"/>
    <n v="20"/>
    <n v="4"/>
    <n v="2"/>
    <n v="80"/>
    <n v="2"/>
    <n v="5"/>
    <n v="2"/>
    <n v="3"/>
    <n v="5"/>
    <n v="3"/>
    <n v="0"/>
    <n v="4"/>
    <x v="0"/>
    <x v="1"/>
  </r>
  <r>
    <n v="34"/>
    <s v="No"/>
    <s v="Non-Travel"/>
    <n v="1375"/>
    <s v="Sales"/>
    <n v="10"/>
    <n v="3"/>
    <s v="Life Sciences"/>
    <n v="1"/>
    <n v="1774"/>
    <n v="4"/>
    <s v="Male"/>
    <n v="87"/>
    <n v="3"/>
    <x v="0"/>
    <s v="Sales Executive"/>
    <n v="3"/>
    <s v="Divorced"/>
    <x v="1175"/>
    <n v="12313"/>
    <n v="1"/>
    <s v="Y"/>
    <s v="Yes"/>
    <n v="14"/>
    <n v="3"/>
    <n v="3"/>
    <n v="80"/>
    <n v="1"/>
    <n v="15"/>
    <n v="3"/>
    <n v="3"/>
    <n v="15"/>
    <n v="14"/>
    <n v="0"/>
    <n v="7"/>
    <x v="2"/>
    <x v="0"/>
  </r>
  <r>
    <n v="53"/>
    <s v="No"/>
    <s v="Non-Travel"/>
    <n v="661"/>
    <s v="Research &amp; Development"/>
    <n v="1"/>
    <n v="4"/>
    <s v="Medical"/>
    <n v="1"/>
    <n v="1775"/>
    <n v="1"/>
    <s v="Female"/>
    <n v="60"/>
    <n v="2"/>
    <x v="3"/>
    <s v="Manufacturing Director"/>
    <n v="3"/>
    <s v="Married"/>
    <x v="1176"/>
    <n v="22308"/>
    <n v="4"/>
    <s v="Y"/>
    <s v="Yes"/>
    <n v="20"/>
    <n v="4"/>
    <n v="4"/>
    <n v="80"/>
    <n v="3"/>
    <n v="27"/>
    <n v="2"/>
    <n v="2"/>
    <n v="3"/>
    <n v="2"/>
    <n v="0"/>
    <n v="2"/>
    <x v="1"/>
    <x v="3"/>
  </r>
  <r>
    <n v="43"/>
    <s v="No"/>
    <s v="Travel_Rarely"/>
    <n v="244"/>
    <s v="Human Resources"/>
    <n v="2"/>
    <n v="3"/>
    <s v="Life Sciences"/>
    <n v="1"/>
    <n v="1778"/>
    <n v="2"/>
    <s v="Male"/>
    <n v="97"/>
    <n v="3"/>
    <x v="1"/>
    <s v="Human Resources"/>
    <n v="4"/>
    <s v="Single"/>
    <x v="1177"/>
    <n v="5033"/>
    <n v="0"/>
    <s v="Y"/>
    <s v="No"/>
    <n v="13"/>
    <n v="3"/>
    <n v="2"/>
    <n v="80"/>
    <n v="0"/>
    <n v="10"/>
    <n v="5"/>
    <n v="3"/>
    <n v="9"/>
    <n v="7"/>
    <n v="1"/>
    <n v="8"/>
    <x v="0"/>
    <x v="0"/>
  </r>
  <r>
    <n v="34"/>
    <s v="No"/>
    <s v="Travel_Rarely"/>
    <n v="511"/>
    <s v="Sales"/>
    <n v="3"/>
    <n v="2"/>
    <s v="Life Sciences"/>
    <n v="1"/>
    <n v="1779"/>
    <n v="4"/>
    <s v="Female"/>
    <n v="32"/>
    <n v="1"/>
    <x v="0"/>
    <s v="Sales Executive"/>
    <n v="4"/>
    <s v="Single"/>
    <x v="1178"/>
    <n v="25353"/>
    <n v="5"/>
    <s v="Y"/>
    <s v="No"/>
    <n v="12"/>
    <n v="3"/>
    <n v="1"/>
    <n v="80"/>
    <n v="0"/>
    <n v="6"/>
    <n v="3"/>
    <n v="3"/>
    <n v="2"/>
    <n v="2"/>
    <n v="2"/>
    <n v="2"/>
    <x v="2"/>
    <x v="0"/>
  </r>
  <r>
    <n v="21"/>
    <s v="Yes"/>
    <s v="Travel_Rarely"/>
    <n v="337"/>
    <s v="Sales"/>
    <n v="7"/>
    <n v="1"/>
    <s v="Marketing"/>
    <n v="1"/>
    <n v="1780"/>
    <n v="2"/>
    <s v="Male"/>
    <n v="31"/>
    <n v="3"/>
    <x v="1"/>
    <s v="Sales Representative"/>
    <n v="2"/>
    <s v="Single"/>
    <x v="1179"/>
    <n v="4567"/>
    <n v="1"/>
    <s v="Y"/>
    <s v="No"/>
    <n v="13"/>
    <n v="3"/>
    <n v="2"/>
    <n v="80"/>
    <n v="0"/>
    <n v="1"/>
    <n v="3"/>
    <n v="3"/>
    <n v="1"/>
    <n v="0"/>
    <n v="1"/>
    <n v="0"/>
    <x v="4"/>
    <x v="1"/>
  </r>
  <r>
    <n v="38"/>
    <s v="No"/>
    <s v="Travel_Rarely"/>
    <n v="1153"/>
    <s v="Research &amp; Development"/>
    <n v="6"/>
    <n v="2"/>
    <s v="Other"/>
    <n v="1"/>
    <n v="1782"/>
    <n v="4"/>
    <s v="Female"/>
    <n v="40"/>
    <n v="2"/>
    <x v="1"/>
    <s v="Laboratory Technician"/>
    <n v="3"/>
    <s v="Married"/>
    <x v="1180"/>
    <n v="16376"/>
    <n v="1"/>
    <s v="Y"/>
    <s v="No"/>
    <n v="11"/>
    <n v="3"/>
    <n v="2"/>
    <n v="80"/>
    <n v="1"/>
    <n v="5"/>
    <n v="3"/>
    <n v="3"/>
    <n v="5"/>
    <n v="4"/>
    <n v="0"/>
    <n v="4"/>
    <x v="0"/>
    <x v="0"/>
  </r>
  <r>
    <n v="22"/>
    <s v="Yes"/>
    <s v="Travel_Rarely"/>
    <n v="1294"/>
    <s v="Research &amp; Development"/>
    <n v="8"/>
    <n v="1"/>
    <s v="Medical"/>
    <n v="1"/>
    <n v="1783"/>
    <n v="3"/>
    <s v="Female"/>
    <n v="79"/>
    <n v="3"/>
    <x v="1"/>
    <s v="Laboratory Technician"/>
    <n v="1"/>
    <s v="Married"/>
    <x v="1181"/>
    <n v="15999"/>
    <n v="1"/>
    <s v="Y"/>
    <s v="Yes"/>
    <n v="17"/>
    <n v="3"/>
    <n v="3"/>
    <n v="80"/>
    <n v="0"/>
    <n v="1"/>
    <n v="6"/>
    <n v="3"/>
    <n v="1"/>
    <n v="0"/>
    <n v="0"/>
    <n v="0"/>
    <x v="4"/>
    <x v="1"/>
  </r>
  <r>
    <n v="31"/>
    <s v="No"/>
    <s v="Travel_Rarely"/>
    <n v="196"/>
    <s v="Sales"/>
    <n v="29"/>
    <n v="4"/>
    <s v="Marketing"/>
    <n v="1"/>
    <n v="1784"/>
    <n v="1"/>
    <s v="Female"/>
    <n v="91"/>
    <n v="2"/>
    <x v="0"/>
    <s v="Sales Executive"/>
    <n v="4"/>
    <s v="Married"/>
    <x v="1182"/>
    <n v="13402"/>
    <n v="1"/>
    <s v="Y"/>
    <s v="No"/>
    <n v="14"/>
    <n v="3"/>
    <n v="1"/>
    <n v="80"/>
    <n v="2"/>
    <n v="13"/>
    <n v="3"/>
    <n v="3"/>
    <n v="12"/>
    <n v="7"/>
    <n v="5"/>
    <n v="7"/>
    <x v="2"/>
    <x v="0"/>
  </r>
  <r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x v="2"/>
    <s v="Manager"/>
    <n v="3"/>
    <s v="Married"/>
    <x v="1183"/>
    <n v="22984"/>
    <n v="2"/>
    <s v="Y"/>
    <s v="No"/>
    <n v="11"/>
    <n v="3"/>
    <n v="4"/>
    <n v="80"/>
    <n v="0"/>
    <n v="15"/>
    <n v="2"/>
    <n v="3"/>
    <n v="2"/>
    <n v="2"/>
    <n v="2"/>
    <n v="2"/>
    <x v="1"/>
    <x v="3"/>
  </r>
  <r>
    <n v="37"/>
    <s v="No"/>
    <s v="Travel_Rarely"/>
    <n v="589"/>
    <s v="Sales"/>
    <n v="9"/>
    <n v="2"/>
    <s v="Marketing"/>
    <n v="1"/>
    <n v="1787"/>
    <n v="2"/>
    <s v="Male"/>
    <n v="46"/>
    <n v="2"/>
    <x v="0"/>
    <s v="Sales Executive"/>
    <n v="2"/>
    <s v="Married"/>
    <x v="1184"/>
    <n v="8800"/>
    <n v="1"/>
    <s v="Y"/>
    <s v="No"/>
    <n v="14"/>
    <n v="3"/>
    <n v="1"/>
    <n v="80"/>
    <n v="2"/>
    <n v="5"/>
    <n v="2"/>
    <n v="3"/>
    <n v="5"/>
    <n v="2"/>
    <n v="0"/>
    <n v="3"/>
    <x v="0"/>
    <x v="0"/>
  </r>
  <r>
    <n v="46"/>
    <s v="No"/>
    <s v="Travel_Rarely"/>
    <n v="734"/>
    <s v="Research &amp; Development"/>
    <n v="2"/>
    <n v="4"/>
    <s v="Medical"/>
    <n v="1"/>
    <n v="1789"/>
    <n v="3"/>
    <s v="Male"/>
    <n v="46"/>
    <n v="3"/>
    <x v="4"/>
    <s v="Research Director"/>
    <n v="4"/>
    <s v="Divorced"/>
    <x v="1185"/>
    <n v="14218"/>
    <n v="7"/>
    <s v="Y"/>
    <s v="Yes"/>
    <n v="17"/>
    <n v="3"/>
    <n v="3"/>
    <n v="80"/>
    <n v="1"/>
    <n v="24"/>
    <n v="3"/>
    <n v="3"/>
    <n v="2"/>
    <n v="1"/>
    <n v="2"/>
    <n v="2"/>
    <x v="1"/>
    <x v="3"/>
  </r>
  <r>
    <n v="36"/>
    <s v="No"/>
    <s v="Travel_Rarely"/>
    <n v="1383"/>
    <s v="Research &amp; Development"/>
    <n v="10"/>
    <n v="3"/>
    <s v="Life Sciences"/>
    <n v="1"/>
    <n v="1790"/>
    <n v="4"/>
    <s v="Male"/>
    <n v="90"/>
    <n v="3"/>
    <x v="2"/>
    <s v="Healthcare Representative"/>
    <n v="1"/>
    <s v="Married"/>
    <x v="1186"/>
    <n v="25949"/>
    <n v="7"/>
    <s v="Y"/>
    <s v="Yes"/>
    <n v="13"/>
    <n v="3"/>
    <n v="4"/>
    <n v="80"/>
    <n v="1"/>
    <n v="15"/>
    <n v="1"/>
    <n v="3"/>
    <n v="12"/>
    <n v="8"/>
    <n v="5"/>
    <n v="7"/>
    <x v="0"/>
    <x v="2"/>
  </r>
  <r>
    <n v="44"/>
    <s v="Yes"/>
    <s v="Travel_Frequently"/>
    <n v="429"/>
    <s v="Research &amp; Development"/>
    <n v="1"/>
    <n v="2"/>
    <s v="Medical"/>
    <n v="1"/>
    <n v="1792"/>
    <n v="3"/>
    <s v="Male"/>
    <n v="99"/>
    <n v="3"/>
    <x v="1"/>
    <s v="Research Scientist"/>
    <n v="2"/>
    <s v="Divorced"/>
    <x v="531"/>
    <n v="11092"/>
    <n v="1"/>
    <s v="Y"/>
    <s v="Yes"/>
    <n v="12"/>
    <n v="3"/>
    <n v="3"/>
    <n v="80"/>
    <n v="3"/>
    <n v="6"/>
    <n v="2"/>
    <n v="2"/>
    <n v="5"/>
    <n v="3"/>
    <n v="2"/>
    <n v="3"/>
    <x v="0"/>
    <x v="1"/>
  </r>
  <r>
    <n v="37"/>
    <s v="No"/>
    <s v="Travel_Rarely"/>
    <n v="1239"/>
    <s v="Human Resources"/>
    <n v="8"/>
    <n v="2"/>
    <s v="Other"/>
    <n v="1"/>
    <n v="1794"/>
    <n v="3"/>
    <s v="Male"/>
    <n v="89"/>
    <n v="3"/>
    <x v="0"/>
    <s v="Human Resources"/>
    <n v="2"/>
    <s v="Divorced"/>
    <x v="1187"/>
    <n v="12832"/>
    <n v="2"/>
    <s v="Y"/>
    <s v="No"/>
    <n v="13"/>
    <n v="3"/>
    <n v="3"/>
    <n v="80"/>
    <n v="0"/>
    <n v="19"/>
    <n v="4"/>
    <n v="2"/>
    <n v="10"/>
    <n v="0"/>
    <n v="4"/>
    <n v="7"/>
    <x v="0"/>
    <x v="0"/>
  </r>
  <r>
    <n v="35"/>
    <s v="Yes"/>
    <s v="Travel_Rarely"/>
    <n v="303"/>
    <s v="Sales"/>
    <n v="27"/>
    <n v="3"/>
    <s v="Life Sciences"/>
    <n v="1"/>
    <n v="1797"/>
    <n v="3"/>
    <s v="Male"/>
    <n v="84"/>
    <n v="3"/>
    <x v="0"/>
    <s v="Sales Executive"/>
    <n v="4"/>
    <s v="Single"/>
    <x v="1188"/>
    <n v="13492"/>
    <n v="1"/>
    <s v="Y"/>
    <s v="Yes"/>
    <n v="18"/>
    <n v="3"/>
    <n v="4"/>
    <n v="80"/>
    <n v="0"/>
    <n v="10"/>
    <n v="2"/>
    <n v="3"/>
    <n v="10"/>
    <n v="7"/>
    <n v="7"/>
    <n v="7"/>
    <x v="2"/>
    <x v="0"/>
  </r>
  <r>
    <n v="33"/>
    <s v="No"/>
    <s v="Travel_Rarely"/>
    <n v="867"/>
    <s v="Research &amp; Development"/>
    <n v="8"/>
    <n v="4"/>
    <s v="Life Sciences"/>
    <n v="1"/>
    <n v="1798"/>
    <n v="4"/>
    <s v="Male"/>
    <n v="90"/>
    <n v="4"/>
    <x v="1"/>
    <s v="Research Scientist"/>
    <n v="1"/>
    <s v="Married"/>
    <x v="1189"/>
    <n v="6076"/>
    <n v="6"/>
    <s v="Y"/>
    <s v="No"/>
    <n v="19"/>
    <n v="3"/>
    <n v="2"/>
    <n v="80"/>
    <n v="1"/>
    <n v="14"/>
    <n v="1"/>
    <n v="3"/>
    <n v="10"/>
    <n v="8"/>
    <n v="7"/>
    <n v="6"/>
    <x v="2"/>
    <x v="0"/>
  </r>
  <r>
    <n v="28"/>
    <s v="No"/>
    <s v="Travel_Rarely"/>
    <n v="1181"/>
    <s v="Research &amp; Development"/>
    <n v="1"/>
    <n v="3"/>
    <s v="Life Sciences"/>
    <n v="1"/>
    <n v="1799"/>
    <n v="3"/>
    <s v="Male"/>
    <n v="82"/>
    <n v="3"/>
    <x v="1"/>
    <s v="Research Scientist"/>
    <n v="4"/>
    <s v="Married"/>
    <x v="633"/>
    <n v="5531"/>
    <n v="1"/>
    <s v="Y"/>
    <s v="No"/>
    <n v="11"/>
    <n v="3"/>
    <n v="3"/>
    <n v="80"/>
    <n v="1"/>
    <n v="5"/>
    <n v="6"/>
    <n v="4"/>
    <n v="5"/>
    <n v="3"/>
    <n v="0"/>
    <n v="3"/>
    <x v="2"/>
    <x v="1"/>
  </r>
  <r>
    <n v="39"/>
    <s v="No"/>
    <s v="Travel_Rarely"/>
    <n v="1253"/>
    <s v="Research &amp; Development"/>
    <n v="10"/>
    <n v="1"/>
    <s v="Medical"/>
    <n v="1"/>
    <n v="1800"/>
    <n v="3"/>
    <s v="Male"/>
    <n v="65"/>
    <n v="3"/>
    <x v="2"/>
    <s v="Research Director"/>
    <n v="3"/>
    <s v="Single"/>
    <x v="1190"/>
    <n v="7914"/>
    <n v="7"/>
    <s v="Y"/>
    <s v="No"/>
    <n v="21"/>
    <n v="4"/>
    <n v="3"/>
    <n v="80"/>
    <n v="0"/>
    <n v="9"/>
    <n v="3"/>
    <n v="3"/>
    <n v="4"/>
    <n v="3"/>
    <n v="2"/>
    <n v="2"/>
    <x v="0"/>
    <x v="3"/>
  </r>
  <r>
    <n v="46"/>
    <s v="No"/>
    <s v="Non-Travel"/>
    <n v="849"/>
    <s v="Sales"/>
    <n v="26"/>
    <n v="2"/>
    <s v="Life Sciences"/>
    <n v="1"/>
    <n v="1801"/>
    <n v="2"/>
    <s v="Male"/>
    <n v="98"/>
    <n v="2"/>
    <x v="0"/>
    <s v="Sales Executive"/>
    <n v="2"/>
    <s v="Single"/>
    <x v="1191"/>
    <n v="25166"/>
    <n v="8"/>
    <s v="Y"/>
    <s v="No"/>
    <n v="15"/>
    <n v="3"/>
    <n v="3"/>
    <n v="80"/>
    <n v="0"/>
    <n v="6"/>
    <n v="3"/>
    <n v="3"/>
    <n v="2"/>
    <n v="2"/>
    <n v="2"/>
    <n v="2"/>
    <x v="1"/>
    <x v="2"/>
  </r>
  <r>
    <n v="40"/>
    <s v="No"/>
    <s v="Travel_Rarely"/>
    <n v="616"/>
    <s v="Research &amp; Development"/>
    <n v="2"/>
    <n v="2"/>
    <s v="Life Sciences"/>
    <n v="1"/>
    <n v="1802"/>
    <n v="3"/>
    <s v="Female"/>
    <n v="99"/>
    <n v="3"/>
    <x v="1"/>
    <s v="Laboratory Technician"/>
    <n v="1"/>
    <s v="Married"/>
    <x v="1192"/>
    <n v="25605"/>
    <n v="4"/>
    <s v="Y"/>
    <s v="No"/>
    <n v="17"/>
    <n v="3"/>
    <n v="4"/>
    <n v="80"/>
    <n v="1"/>
    <n v="7"/>
    <n v="5"/>
    <n v="2"/>
    <n v="4"/>
    <n v="3"/>
    <n v="0"/>
    <n v="2"/>
    <x v="0"/>
    <x v="0"/>
  </r>
  <r>
    <n v="42"/>
    <s v="No"/>
    <s v="Travel_Rarely"/>
    <n v="1128"/>
    <s v="Research &amp; Development"/>
    <n v="13"/>
    <n v="3"/>
    <s v="Medical"/>
    <n v="1"/>
    <n v="1803"/>
    <n v="2"/>
    <s v="Male"/>
    <n v="95"/>
    <n v="4"/>
    <x v="0"/>
    <s v="Healthcare Representative"/>
    <n v="1"/>
    <s v="Married"/>
    <x v="1193"/>
    <n v="5696"/>
    <n v="5"/>
    <s v="Y"/>
    <s v="No"/>
    <n v="18"/>
    <n v="3"/>
    <n v="3"/>
    <n v="80"/>
    <n v="2"/>
    <n v="10"/>
    <n v="2"/>
    <n v="2"/>
    <n v="0"/>
    <n v="0"/>
    <n v="0"/>
    <n v="0"/>
    <x v="0"/>
    <x v="0"/>
  </r>
  <r>
    <n v="35"/>
    <s v="No"/>
    <s v="Non-Travel"/>
    <n v="1180"/>
    <s v="Research &amp; Development"/>
    <n v="2"/>
    <n v="2"/>
    <s v="Medical"/>
    <n v="1"/>
    <n v="1804"/>
    <n v="2"/>
    <s v="Male"/>
    <n v="90"/>
    <n v="3"/>
    <x v="0"/>
    <s v="Manufacturing Director"/>
    <n v="4"/>
    <s v="Divorced"/>
    <x v="1194"/>
    <n v="24442"/>
    <n v="2"/>
    <s v="Y"/>
    <s v="No"/>
    <n v="14"/>
    <n v="3"/>
    <n v="3"/>
    <n v="80"/>
    <n v="1"/>
    <n v="15"/>
    <n v="6"/>
    <n v="3"/>
    <n v="7"/>
    <n v="7"/>
    <n v="1"/>
    <n v="7"/>
    <x v="2"/>
    <x v="0"/>
  </r>
  <r>
    <n v="38"/>
    <s v="No"/>
    <s v="Non-Travel"/>
    <n v="1336"/>
    <s v="Human Resources"/>
    <n v="2"/>
    <n v="3"/>
    <s v="Human Resources"/>
    <n v="1"/>
    <n v="1805"/>
    <n v="1"/>
    <s v="Male"/>
    <n v="100"/>
    <n v="3"/>
    <x v="1"/>
    <s v="Human Resources"/>
    <n v="2"/>
    <s v="Divorced"/>
    <x v="1195"/>
    <n v="7129"/>
    <n v="5"/>
    <s v="Y"/>
    <s v="No"/>
    <n v="13"/>
    <n v="3"/>
    <n v="4"/>
    <n v="80"/>
    <n v="3"/>
    <n v="13"/>
    <n v="3"/>
    <n v="3"/>
    <n v="11"/>
    <n v="10"/>
    <n v="3"/>
    <n v="8"/>
    <x v="0"/>
    <x v="1"/>
  </r>
  <r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x v="0"/>
    <s v="Laboratory Technician"/>
    <n v="1"/>
    <s v="Married"/>
    <x v="800"/>
    <n v="6208"/>
    <n v="4"/>
    <s v="Y"/>
    <s v="No"/>
    <n v="17"/>
    <n v="3"/>
    <n v="3"/>
    <n v="80"/>
    <n v="1"/>
    <n v="11"/>
    <n v="3"/>
    <n v="2"/>
    <n v="7"/>
    <n v="1"/>
    <n v="0"/>
    <n v="7"/>
    <x v="2"/>
    <x v="0"/>
  </r>
  <r>
    <n v="37"/>
    <s v="Yes"/>
    <s v="Travel_Rarely"/>
    <n v="370"/>
    <s v="Research &amp; Development"/>
    <n v="10"/>
    <n v="4"/>
    <s v="Medical"/>
    <n v="1"/>
    <n v="1809"/>
    <n v="4"/>
    <s v="Male"/>
    <n v="58"/>
    <n v="3"/>
    <x v="0"/>
    <s v="Manufacturing Director"/>
    <n v="1"/>
    <s v="Single"/>
    <x v="1196"/>
    <n v="4992"/>
    <n v="1"/>
    <s v="Y"/>
    <s v="No"/>
    <n v="15"/>
    <n v="3"/>
    <n v="2"/>
    <n v="80"/>
    <n v="0"/>
    <n v="10"/>
    <n v="4"/>
    <n v="1"/>
    <n v="10"/>
    <n v="3"/>
    <n v="0"/>
    <n v="8"/>
    <x v="0"/>
    <x v="0"/>
  </r>
  <r>
    <n v="39"/>
    <s v="No"/>
    <s v="Travel_Frequently"/>
    <n v="766"/>
    <s v="Sales"/>
    <n v="20"/>
    <n v="3"/>
    <s v="Life Sciences"/>
    <n v="1"/>
    <n v="1812"/>
    <n v="3"/>
    <s v="Male"/>
    <n v="83"/>
    <n v="3"/>
    <x v="0"/>
    <s v="Sales Executive"/>
    <n v="4"/>
    <s v="Divorced"/>
    <x v="1197"/>
    <n v="19188"/>
    <n v="2"/>
    <s v="Y"/>
    <s v="No"/>
    <n v="18"/>
    <n v="3"/>
    <n v="4"/>
    <n v="80"/>
    <n v="1"/>
    <n v="7"/>
    <n v="6"/>
    <n v="3"/>
    <n v="2"/>
    <n v="1"/>
    <n v="2"/>
    <n v="2"/>
    <x v="0"/>
    <x v="0"/>
  </r>
  <r>
    <n v="43"/>
    <s v="No"/>
    <s v="Non-Travel"/>
    <n v="343"/>
    <s v="Research &amp; Development"/>
    <n v="9"/>
    <n v="3"/>
    <s v="Life Sciences"/>
    <n v="1"/>
    <n v="1813"/>
    <n v="1"/>
    <s v="Male"/>
    <n v="52"/>
    <n v="3"/>
    <x v="1"/>
    <s v="Research Scientist"/>
    <n v="3"/>
    <s v="Single"/>
    <x v="1198"/>
    <n v="24978"/>
    <n v="4"/>
    <s v="Y"/>
    <s v="No"/>
    <n v="13"/>
    <n v="3"/>
    <n v="3"/>
    <n v="80"/>
    <n v="0"/>
    <n v="7"/>
    <n v="2"/>
    <n v="2"/>
    <n v="3"/>
    <n v="2"/>
    <n v="1"/>
    <n v="2"/>
    <x v="0"/>
    <x v="1"/>
  </r>
  <r>
    <n v="41"/>
    <s v="No"/>
    <s v="Travel_Rarely"/>
    <n v="447"/>
    <s v="Research &amp; Development"/>
    <n v="5"/>
    <n v="3"/>
    <s v="Life Sciences"/>
    <n v="1"/>
    <n v="1814"/>
    <n v="2"/>
    <s v="Male"/>
    <n v="85"/>
    <n v="4"/>
    <x v="0"/>
    <s v="Healthcare Representative"/>
    <n v="2"/>
    <s v="Single"/>
    <x v="1199"/>
    <n v="15530"/>
    <n v="3"/>
    <s v="Y"/>
    <s v="No"/>
    <n v="12"/>
    <n v="3"/>
    <n v="1"/>
    <n v="80"/>
    <n v="0"/>
    <n v="11"/>
    <n v="3"/>
    <n v="1"/>
    <n v="3"/>
    <n v="2"/>
    <n v="1"/>
    <n v="2"/>
    <x v="0"/>
    <x v="0"/>
  </r>
  <r>
    <n v="41"/>
    <s v="No"/>
    <s v="Travel_Rarely"/>
    <n v="796"/>
    <s v="Sales"/>
    <n v="4"/>
    <n v="1"/>
    <s v="Marketing"/>
    <n v="1"/>
    <n v="1815"/>
    <n v="3"/>
    <s v="Female"/>
    <n v="81"/>
    <n v="3"/>
    <x v="2"/>
    <s v="Sales Executive"/>
    <n v="3"/>
    <s v="Divorced"/>
    <x v="1200"/>
    <n v="26458"/>
    <n v="0"/>
    <s v="Y"/>
    <s v="Yes"/>
    <n v="13"/>
    <n v="3"/>
    <n v="4"/>
    <n v="80"/>
    <n v="1"/>
    <n v="23"/>
    <n v="3"/>
    <n v="4"/>
    <n v="22"/>
    <n v="14"/>
    <n v="13"/>
    <n v="5"/>
    <x v="0"/>
    <x v="2"/>
  </r>
  <r>
    <n v="30"/>
    <s v="No"/>
    <s v="Travel_Rarely"/>
    <n v="1092"/>
    <s v="Research &amp; Development"/>
    <n v="10"/>
    <n v="3"/>
    <s v="Medical"/>
    <n v="1"/>
    <n v="1816"/>
    <n v="1"/>
    <s v="Female"/>
    <n v="64"/>
    <n v="3"/>
    <x v="2"/>
    <s v="Manufacturing Director"/>
    <n v="3"/>
    <s v="Single"/>
    <x v="1201"/>
    <n v="2739"/>
    <n v="9"/>
    <s v="Y"/>
    <s v="No"/>
    <n v="14"/>
    <n v="3"/>
    <n v="2"/>
    <n v="80"/>
    <n v="0"/>
    <n v="9"/>
    <n v="3"/>
    <n v="3"/>
    <n v="7"/>
    <n v="7"/>
    <n v="0"/>
    <n v="2"/>
    <x v="2"/>
    <x v="2"/>
  </r>
  <r>
    <n v="26"/>
    <s v="Yes"/>
    <s v="Travel_Rarely"/>
    <n v="920"/>
    <s v="Human Resources"/>
    <n v="20"/>
    <n v="2"/>
    <s v="Medical"/>
    <n v="1"/>
    <n v="1818"/>
    <n v="4"/>
    <s v="Female"/>
    <n v="69"/>
    <n v="3"/>
    <x v="1"/>
    <s v="Human Resources"/>
    <n v="2"/>
    <s v="Married"/>
    <x v="1202"/>
    <n v="6889"/>
    <n v="0"/>
    <s v="Y"/>
    <s v="Yes"/>
    <n v="11"/>
    <n v="3"/>
    <n v="3"/>
    <n v="80"/>
    <n v="0"/>
    <n v="6"/>
    <n v="3"/>
    <n v="3"/>
    <n v="5"/>
    <n v="1"/>
    <n v="1"/>
    <n v="4"/>
    <x v="2"/>
    <x v="1"/>
  </r>
  <r>
    <n v="46"/>
    <s v="Yes"/>
    <s v="Travel_Rarely"/>
    <n v="261"/>
    <s v="Research &amp; Development"/>
    <n v="21"/>
    <n v="2"/>
    <s v="Medical"/>
    <n v="1"/>
    <n v="1821"/>
    <n v="4"/>
    <s v="Female"/>
    <n v="66"/>
    <n v="3"/>
    <x v="0"/>
    <s v="Healthcare Representative"/>
    <n v="2"/>
    <s v="Married"/>
    <x v="1203"/>
    <n v="10842"/>
    <n v="4"/>
    <s v="Y"/>
    <s v="No"/>
    <n v="22"/>
    <n v="4"/>
    <n v="4"/>
    <n v="80"/>
    <n v="1"/>
    <n v="13"/>
    <n v="2"/>
    <n v="4"/>
    <n v="9"/>
    <n v="7"/>
    <n v="3"/>
    <n v="7"/>
    <x v="1"/>
    <x v="2"/>
  </r>
  <r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x v="0"/>
    <s v="Healthcare Representative"/>
    <n v="4"/>
    <s v="Divorced"/>
    <x v="1204"/>
    <n v="9060"/>
    <n v="4"/>
    <s v="Y"/>
    <s v="No"/>
    <n v="17"/>
    <n v="3"/>
    <n v="4"/>
    <n v="80"/>
    <n v="1"/>
    <n v="12"/>
    <n v="3"/>
    <n v="3"/>
    <n v="5"/>
    <n v="3"/>
    <n v="0"/>
    <n v="3"/>
    <x v="0"/>
    <x v="0"/>
  </r>
  <r>
    <n v="34"/>
    <s v="No"/>
    <s v="Travel_Rarely"/>
    <n v="810"/>
    <s v="Sales"/>
    <n v="8"/>
    <n v="2"/>
    <s v="Technical Degree"/>
    <n v="1"/>
    <n v="1823"/>
    <n v="2"/>
    <s v="Male"/>
    <n v="92"/>
    <n v="4"/>
    <x v="0"/>
    <s v="Sales Executive"/>
    <n v="3"/>
    <s v="Married"/>
    <x v="1205"/>
    <n v="22128"/>
    <n v="1"/>
    <s v="Y"/>
    <s v="No"/>
    <n v="21"/>
    <n v="4"/>
    <n v="3"/>
    <n v="80"/>
    <n v="2"/>
    <n v="10"/>
    <n v="5"/>
    <n v="3"/>
    <n v="10"/>
    <n v="8"/>
    <n v="4"/>
    <n v="8"/>
    <x v="2"/>
    <x v="0"/>
  </r>
  <r>
    <n v="58"/>
    <s v="No"/>
    <s v="Non-Travel"/>
    <n v="350"/>
    <s v="Sales"/>
    <n v="2"/>
    <n v="3"/>
    <s v="Medical"/>
    <n v="1"/>
    <n v="1824"/>
    <n v="2"/>
    <s v="Male"/>
    <n v="52"/>
    <n v="3"/>
    <x v="3"/>
    <s v="Manager"/>
    <n v="2"/>
    <s v="Divorced"/>
    <x v="1206"/>
    <n v="22577"/>
    <n v="4"/>
    <s v="Y"/>
    <s v="No"/>
    <n v="22"/>
    <n v="4"/>
    <n v="4"/>
    <n v="80"/>
    <n v="1"/>
    <n v="37"/>
    <n v="0"/>
    <n v="2"/>
    <n v="16"/>
    <n v="9"/>
    <n v="14"/>
    <n v="14"/>
    <x v="3"/>
    <x v="3"/>
  </r>
  <r>
    <n v="35"/>
    <s v="No"/>
    <s v="Travel_Rarely"/>
    <n v="185"/>
    <s v="Research &amp; Development"/>
    <n v="23"/>
    <n v="4"/>
    <s v="Medical"/>
    <n v="1"/>
    <n v="1826"/>
    <n v="2"/>
    <s v="Male"/>
    <n v="91"/>
    <n v="1"/>
    <x v="1"/>
    <s v="Laboratory Technician"/>
    <n v="3"/>
    <s v="Married"/>
    <x v="1207"/>
    <n v="9696"/>
    <n v="0"/>
    <s v="Y"/>
    <s v="No"/>
    <n v="16"/>
    <n v="3"/>
    <n v="2"/>
    <n v="80"/>
    <n v="1"/>
    <n v="6"/>
    <n v="2"/>
    <n v="4"/>
    <n v="5"/>
    <n v="4"/>
    <n v="0"/>
    <n v="3"/>
    <x v="2"/>
    <x v="1"/>
  </r>
  <r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x v="2"/>
    <s v="Manufacturing Director"/>
    <n v="2"/>
    <s v="Divorced"/>
    <x v="1208"/>
    <n v="19271"/>
    <n v="8"/>
    <s v="Y"/>
    <s v="Yes"/>
    <n v="12"/>
    <n v="3"/>
    <n v="3"/>
    <n v="80"/>
    <n v="1"/>
    <n v="28"/>
    <n v="4"/>
    <n v="3"/>
    <n v="22"/>
    <n v="11"/>
    <n v="14"/>
    <n v="10"/>
    <x v="1"/>
    <x v="2"/>
  </r>
  <r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x v="0"/>
    <s v="Healthcare Representative"/>
    <n v="1"/>
    <s v="Divorced"/>
    <x v="1209"/>
    <n v="10748"/>
    <n v="2"/>
    <s v="Y"/>
    <s v="No"/>
    <n v="12"/>
    <n v="3"/>
    <n v="2"/>
    <n v="80"/>
    <n v="1"/>
    <n v="15"/>
    <n v="3"/>
    <n v="3"/>
    <n v="7"/>
    <n v="4"/>
    <n v="7"/>
    <n v="7"/>
    <x v="0"/>
    <x v="0"/>
  </r>
  <r>
    <n v="54"/>
    <s v="No"/>
    <s v="Travel_Rarely"/>
    <n v="431"/>
    <s v="Research &amp; Development"/>
    <n v="7"/>
    <n v="4"/>
    <s v="Medical"/>
    <n v="1"/>
    <n v="1830"/>
    <n v="4"/>
    <s v="Female"/>
    <n v="68"/>
    <n v="3"/>
    <x v="0"/>
    <s v="Research Scientist"/>
    <n v="4"/>
    <s v="Married"/>
    <x v="1210"/>
    <n v="15696"/>
    <n v="4"/>
    <s v="Y"/>
    <s v="No"/>
    <n v="15"/>
    <n v="3"/>
    <n v="2"/>
    <n v="80"/>
    <n v="1"/>
    <n v="14"/>
    <n v="2"/>
    <n v="2"/>
    <n v="7"/>
    <n v="1"/>
    <n v="1"/>
    <n v="7"/>
    <x v="1"/>
    <x v="0"/>
  </r>
  <r>
    <n v="31"/>
    <s v="No"/>
    <s v="Travel_Frequently"/>
    <n v="1125"/>
    <s v="Sales"/>
    <n v="7"/>
    <n v="4"/>
    <s v="Marketing"/>
    <n v="1"/>
    <n v="1833"/>
    <n v="1"/>
    <s v="Female"/>
    <n v="68"/>
    <n v="3"/>
    <x v="2"/>
    <s v="Sales Executive"/>
    <n v="1"/>
    <s v="Married"/>
    <x v="1211"/>
    <n v="8277"/>
    <n v="2"/>
    <s v="Y"/>
    <s v="No"/>
    <n v="14"/>
    <n v="3"/>
    <n v="4"/>
    <n v="80"/>
    <n v="2"/>
    <n v="9"/>
    <n v="3"/>
    <n v="3"/>
    <n v="3"/>
    <n v="2"/>
    <n v="2"/>
    <n v="2"/>
    <x v="2"/>
    <x v="2"/>
  </r>
  <r>
    <n v="28"/>
    <s v="No"/>
    <s v="Travel_Rarely"/>
    <n v="1217"/>
    <s v="Research &amp; Development"/>
    <n v="1"/>
    <n v="3"/>
    <s v="Medical"/>
    <n v="1"/>
    <n v="1834"/>
    <n v="3"/>
    <s v="Female"/>
    <n v="67"/>
    <n v="3"/>
    <x v="1"/>
    <s v="Research Scientist"/>
    <n v="1"/>
    <s v="Married"/>
    <x v="1212"/>
    <n v="12719"/>
    <n v="1"/>
    <s v="Y"/>
    <s v="No"/>
    <n v="25"/>
    <n v="4"/>
    <n v="3"/>
    <n v="80"/>
    <n v="1"/>
    <n v="3"/>
    <n v="3"/>
    <n v="3"/>
    <n v="3"/>
    <n v="2"/>
    <n v="1"/>
    <n v="2"/>
    <x v="2"/>
    <x v="0"/>
  </r>
  <r>
    <n v="38"/>
    <s v="No"/>
    <s v="Travel_Rarely"/>
    <n v="723"/>
    <s v="Sales"/>
    <n v="2"/>
    <n v="4"/>
    <s v="Marketing"/>
    <n v="1"/>
    <n v="1835"/>
    <n v="2"/>
    <s v="Female"/>
    <n v="77"/>
    <n v="1"/>
    <x v="0"/>
    <s v="Sales Representative"/>
    <n v="4"/>
    <s v="Married"/>
    <x v="517"/>
    <n v="4244"/>
    <n v="2"/>
    <s v="Y"/>
    <s v="Yes"/>
    <n v="20"/>
    <n v="4"/>
    <n v="1"/>
    <n v="80"/>
    <n v="2"/>
    <n v="20"/>
    <n v="4"/>
    <n v="2"/>
    <n v="4"/>
    <n v="2"/>
    <n v="0"/>
    <n v="3"/>
    <x v="0"/>
    <x v="0"/>
  </r>
  <r>
    <n v="26"/>
    <s v="No"/>
    <s v="Travel_Rarely"/>
    <n v="572"/>
    <s v="Sales"/>
    <n v="10"/>
    <n v="3"/>
    <s v="Medical"/>
    <n v="1"/>
    <n v="1836"/>
    <n v="3"/>
    <s v="Male"/>
    <n v="46"/>
    <n v="3"/>
    <x v="0"/>
    <s v="Sales Executive"/>
    <n v="4"/>
    <s v="Single"/>
    <x v="1213"/>
    <n v="9125"/>
    <n v="1"/>
    <s v="Y"/>
    <s v="No"/>
    <n v="13"/>
    <n v="3"/>
    <n v="1"/>
    <n v="80"/>
    <n v="0"/>
    <n v="5"/>
    <n v="4"/>
    <n v="3"/>
    <n v="5"/>
    <n v="3"/>
    <n v="1"/>
    <n v="2"/>
    <x v="2"/>
    <x v="0"/>
  </r>
  <r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x v="3"/>
    <s v="Research Director"/>
    <n v="3"/>
    <s v="Married"/>
    <x v="1214"/>
    <n v="21624"/>
    <n v="2"/>
    <s v="Y"/>
    <s v="Yes"/>
    <n v="14"/>
    <n v="3"/>
    <n v="2"/>
    <n v="80"/>
    <n v="0"/>
    <n v="23"/>
    <n v="3"/>
    <n v="3"/>
    <n v="2"/>
    <n v="2"/>
    <n v="2"/>
    <n v="2"/>
    <x v="3"/>
    <x v="3"/>
  </r>
  <r>
    <n v="18"/>
    <s v="No"/>
    <s v="Non-Travel"/>
    <n v="1431"/>
    <s v="Research &amp; Development"/>
    <n v="14"/>
    <n v="3"/>
    <s v="Medical"/>
    <n v="1"/>
    <n v="1839"/>
    <n v="2"/>
    <s v="Female"/>
    <n v="33"/>
    <n v="3"/>
    <x v="1"/>
    <s v="Research Scientist"/>
    <n v="3"/>
    <s v="Single"/>
    <x v="1215"/>
    <n v="8018"/>
    <n v="1"/>
    <s v="Y"/>
    <s v="No"/>
    <n v="16"/>
    <n v="3"/>
    <n v="3"/>
    <n v="80"/>
    <n v="0"/>
    <n v="0"/>
    <n v="4"/>
    <n v="1"/>
    <n v="0"/>
    <n v="0"/>
    <n v="0"/>
    <n v="0"/>
    <x v="4"/>
    <x v="1"/>
  </r>
  <r>
    <n v="31"/>
    <s v="Yes"/>
    <s v="Travel_Rarely"/>
    <n v="359"/>
    <s v="Human Resources"/>
    <n v="18"/>
    <n v="5"/>
    <s v="Human Resources"/>
    <n v="1"/>
    <n v="1842"/>
    <n v="4"/>
    <s v="Male"/>
    <n v="89"/>
    <n v="4"/>
    <x v="1"/>
    <s v="Human Resources"/>
    <n v="1"/>
    <s v="Married"/>
    <x v="98"/>
    <n v="21495"/>
    <n v="0"/>
    <s v="Y"/>
    <s v="No"/>
    <n v="17"/>
    <n v="3"/>
    <n v="3"/>
    <n v="80"/>
    <n v="0"/>
    <n v="2"/>
    <n v="4"/>
    <n v="3"/>
    <n v="1"/>
    <n v="0"/>
    <n v="0"/>
    <n v="0"/>
    <x v="2"/>
    <x v="1"/>
  </r>
  <r>
    <n v="29"/>
    <s v="Yes"/>
    <s v="Travel_Rarely"/>
    <n v="350"/>
    <s v="Human Resources"/>
    <n v="13"/>
    <n v="3"/>
    <s v="Human Resources"/>
    <n v="1"/>
    <n v="1844"/>
    <n v="1"/>
    <s v="Male"/>
    <n v="56"/>
    <n v="2"/>
    <x v="1"/>
    <s v="Human Resources"/>
    <n v="1"/>
    <s v="Divorced"/>
    <x v="1216"/>
    <n v="3157"/>
    <n v="4"/>
    <s v="Y"/>
    <s v="Yes"/>
    <n v="15"/>
    <n v="3"/>
    <n v="4"/>
    <n v="80"/>
    <n v="3"/>
    <n v="4"/>
    <n v="3"/>
    <n v="3"/>
    <n v="2"/>
    <n v="2"/>
    <n v="2"/>
    <n v="0"/>
    <x v="2"/>
    <x v="1"/>
  </r>
  <r>
    <n v="45"/>
    <s v="No"/>
    <s v="Non-Travel"/>
    <n v="589"/>
    <s v="Sales"/>
    <n v="2"/>
    <n v="4"/>
    <s v="Life Sciences"/>
    <n v="1"/>
    <n v="1845"/>
    <n v="3"/>
    <s v="Female"/>
    <n v="67"/>
    <n v="3"/>
    <x v="0"/>
    <s v="Sales Executive"/>
    <n v="3"/>
    <s v="Married"/>
    <x v="1217"/>
    <n v="19665"/>
    <n v="4"/>
    <s v="Y"/>
    <s v="No"/>
    <n v="22"/>
    <n v="4"/>
    <n v="2"/>
    <n v="80"/>
    <n v="2"/>
    <n v="10"/>
    <n v="3"/>
    <n v="4"/>
    <n v="8"/>
    <n v="7"/>
    <n v="5"/>
    <n v="7"/>
    <x v="0"/>
    <x v="0"/>
  </r>
  <r>
    <n v="36"/>
    <s v="No"/>
    <s v="Travel_Rarely"/>
    <n v="430"/>
    <s v="Research &amp; Development"/>
    <n v="2"/>
    <n v="4"/>
    <s v="Other"/>
    <n v="1"/>
    <n v="1847"/>
    <n v="4"/>
    <s v="Female"/>
    <n v="73"/>
    <n v="3"/>
    <x v="0"/>
    <s v="Research Scientist"/>
    <n v="2"/>
    <s v="Married"/>
    <x v="1218"/>
    <n v="19573"/>
    <n v="4"/>
    <s v="Y"/>
    <s v="Yes"/>
    <n v="22"/>
    <n v="4"/>
    <n v="4"/>
    <n v="80"/>
    <n v="1"/>
    <n v="15"/>
    <n v="2"/>
    <n v="3"/>
    <n v="1"/>
    <n v="0"/>
    <n v="0"/>
    <n v="0"/>
    <x v="0"/>
    <x v="0"/>
  </r>
  <r>
    <n v="43"/>
    <s v="No"/>
    <s v="Travel_Frequently"/>
    <n v="1422"/>
    <s v="Sales"/>
    <n v="2"/>
    <n v="4"/>
    <s v="Life Sciences"/>
    <n v="1"/>
    <n v="1849"/>
    <n v="1"/>
    <s v="Male"/>
    <n v="92"/>
    <n v="3"/>
    <x v="0"/>
    <s v="Sales Executive"/>
    <n v="4"/>
    <s v="Married"/>
    <x v="1219"/>
    <n v="19246"/>
    <n v="1"/>
    <s v="Y"/>
    <s v="No"/>
    <n v="20"/>
    <n v="4"/>
    <n v="3"/>
    <n v="80"/>
    <n v="1"/>
    <n v="7"/>
    <n v="5"/>
    <n v="3"/>
    <n v="7"/>
    <n v="7"/>
    <n v="7"/>
    <n v="7"/>
    <x v="0"/>
    <x v="0"/>
  </r>
  <r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x v="1"/>
    <s v="Laboratory Technician"/>
    <n v="4"/>
    <s v="Single"/>
    <x v="1220"/>
    <n v="19826"/>
    <n v="0"/>
    <s v="Y"/>
    <s v="Yes"/>
    <n v="14"/>
    <n v="3"/>
    <n v="3"/>
    <n v="80"/>
    <n v="0"/>
    <n v="6"/>
    <n v="3"/>
    <n v="2"/>
    <n v="5"/>
    <n v="4"/>
    <n v="0"/>
    <n v="2"/>
    <x v="2"/>
    <x v="1"/>
  </r>
  <r>
    <n v="29"/>
    <s v="No"/>
    <s v="Travel_Frequently"/>
    <n v="574"/>
    <s v="Research &amp; Development"/>
    <n v="20"/>
    <n v="1"/>
    <s v="Medical"/>
    <n v="1"/>
    <n v="1852"/>
    <n v="4"/>
    <s v="Male"/>
    <n v="40"/>
    <n v="3"/>
    <x v="1"/>
    <s v="Laboratory Technician"/>
    <n v="4"/>
    <s v="Married"/>
    <x v="1221"/>
    <n v="7003"/>
    <n v="1"/>
    <s v="Y"/>
    <s v="No"/>
    <n v="13"/>
    <n v="3"/>
    <n v="2"/>
    <n v="80"/>
    <n v="0"/>
    <n v="11"/>
    <n v="3"/>
    <n v="4"/>
    <n v="11"/>
    <n v="8"/>
    <n v="3"/>
    <n v="10"/>
    <x v="2"/>
    <x v="0"/>
  </r>
  <r>
    <n v="32"/>
    <s v="No"/>
    <s v="Travel_Frequently"/>
    <n v="1318"/>
    <s v="Sales"/>
    <n v="10"/>
    <n v="4"/>
    <s v="Marketing"/>
    <n v="1"/>
    <n v="1853"/>
    <n v="4"/>
    <s v="Male"/>
    <n v="79"/>
    <n v="3"/>
    <x v="0"/>
    <s v="Sales Executive"/>
    <n v="4"/>
    <s v="Single"/>
    <x v="1222"/>
    <n v="26075"/>
    <n v="8"/>
    <s v="Y"/>
    <s v="No"/>
    <n v="13"/>
    <n v="3"/>
    <n v="3"/>
    <n v="80"/>
    <n v="0"/>
    <n v="4"/>
    <n v="2"/>
    <n v="4"/>
    <n v="0"/>
    <n v="0"/>
    <n v="0"/>
    <n v="0"/>
    <x v="2"/>
    <x v="0"/>
  </r>
  <r>
    <n v="42"/>
    <s v="No"/>
    <s v="Non-Travel"/>
    <n v="355"/>
    <s v="Research &amp; Development"/>
    <n v="10"/>
    <n v="4"/>
    <s v="Technical Degree"/>
    <n v="1"/>
    <n v="1854"/>
    <n v="3"/>
    <s v="Male"/>
    <n v="38"/>
    <n v="3"/>
    <x v="1"/>
    <s v="Research Scientist"/>
    <n v="3"/>
    <s v="Married"/>
    <x v="808"/>
    <n v="6161"/>
    <n v="3"/>
    <s v="Y"/>
    <s v="No"/>
    <n v="22"/>
    <n v="4"/>
    <n v="2"/>
    <n v="80"/>
    <n v="2"/>
    <n v="10"/>
    <n v="1"/>
    <n v="2"/>
    <n v="6"/>
    <n v="3"/>
    <n v="3"/>
    <n v="3"/>
    <x v="0"/>
    <x v="1"/>
  </r>
  <r>
    <n v="47"/>
    <s v="No"/>
    <s v="Travel_Rarely"/>
    <n v="207"/>
    <s v="Research &amp; Development"/>
    <n v="9"/>
    <n v="4"/>
    <s v="Life Sciences"/>
    <n v="1"/>
    <n v="1856"/>
    <n v="2"/>
    <s v="Female"/>
    <n v="64"/>
    <n v="3"/>
    <x v="1"/>
    <s v="Laboratory Technician"/>
    <n v="3"/>
    <s v="Single"/>
    <x v="1223"/>
    <n v="5411"/>
    <n v="4"/>
    <s v="Y"/>
    <s v="No"/>
    <n v="12"/>
    <n v="3"/>
    <n v="3"/>
    <n v="80"/>
    <n v="0"/>
    <n v="7"/>
    <n v="2"/>
    <n v="3"/>
    <n v="2"/>
    <n v="2"/>
    <n v="2"/>
    <n v="0"/>
    <x v="1"/>
    <x v="1"/>
  </r>
  <r>
    <n v="46"/>
    <s v="No"/>
    <s v="Travel_Rarely"/>
    <n v="706"/>
    <s v="Research &amp; Development"/>
    <n v="2"/>
    <n v="2"/>
    <s v="Life Sciences"/>
    <n v="1"/>
    <n v="1857"/>
    <n v="4"/>
    <s v="Male"/>
    <n v="82"/>
    <n v="3"/>
    <x v="2"/>
    <s v="Manufacturing Director"/>
    <n v="4"/>
    <s v="Divorced"/>
    <x v="1224"/>
    <n v="19989"/>
    <n v="3"/>
    <s v="Y"/>
    <s v="No"/>
    <n v="14"/>
    <n v="3"/>
    <n v="3"/>
    <n v="80"/>
    <n v="1"/>
    <n v="12"/>
    <n v="4"/>
    <n v="2"/>
    <n v="9"/>
    <n v="8"/>
    <n v="4"/>
    <n v="7"/>
    <x v="1"/>
    <x v="2"/>
  </r>
  <r>
    <n v="28"/>
    <s v="No"/>
    <s v="Non-Travel"/>
    <n v="280"/>
    <s v="Human Resources"/>
    <n v="1"/>
    <n v="2"/>
    <s v="Life Sciences"/>
    <n v="1"/>
    <n v="1858"/>
    <n v="3"/>
    <s v="Male"/>
    <n v="43"/>
    <n v="3"/>
    <x v="1"/>
    <s v="Human Resources"/>
    <n v="4"/>
    <s v="Divorced"/>
    <x v="1225"/>
    <n v="10494"/>
    <n v="1"/>
    <s v="Y"/>
    <s v="No"/>
    <n v="15"/>
    <n v="3"/>
    <n v="2"/>
    <n v="80"/>
    <n v="1"/>
    <n v="3"/>
    <n v="2"/>
    <n v="3"/>
    <n v="3"/>
    <n v="2"/>
    <n v="2"/>
    <n v="2"/>
    <x v="2"/>
    <x v="1"/>
  </r>
  <r>
    <n v="29"/>
    <s v="No"/>
    <s v="Travel_Rarely"/>
    <n v="726"/>
    <s v="Research &amp; Development"/>
    <n v="29"/>
    <n v="1"/>
    <s v="Life Sciences"/>
    <n v="1"/>
    <n v="1859"/>
    <n v="4"/>
    <s v="Male"/>
    <n v="93"/>
    <n v="1"/>
    <x v="0"/>
    <s v="Healthcare Representative"/>
    <n v="3"/>
    <s v="Divorced"/>
    <x v="1226"/>
    <n v="21143"/>
    <n v="8"/>
    <s v="Y"/>
    <s v="No"/>
    <n v="17"/>
    <n v="3"/>
    <n v="4"/>
    <n v="80"/>
    <n v="2"/>
    <n v="11"/>
    <n v="3"/>
    <n v="3"/>
    <n v="7"/>
    <n v="0"/>
    <n v="1"/>
    <n v="6"/>
    <x v="2"/>
    <x v="0"/>
  </r>
  <r>
    <n v="42"/>
    <s v="No"/>
    <s v="Travel_Rarely"/>
    <n v="1142"/>
    <s v="Research &amp; Development"/>
    <n v="8"/>
    <n v="3"/>
    <s v="Life Sciences"/>
    <n v="1"/>
    <n v="1860"/>
    <n v="4"/>
    <s v="Male"/>
    <n v="81"/>
    <n v="3"/>
    <x v="1"/>
    <s v="Laboratory Technician"/>
    <n v="3"/>
    <s v="Single"/>
    <x v="1227"/>
    <n v="13624"/>
    <n v="4"/>
    <s v="Y"/>
    <s v="No"/>
    <n v="13"/>
    <n v="3"/>
    <n v="4"/>
    <n v="80"/>
    <n v="0"/>
    <n v="8"/>
    <n v="3"/>
    <n v="3"/>
    <n v="0"/>
    <n v="0"/>
    <n v="0"/>
    <n v="0"/>
    <x v="0"/>
    <x v="0"/>
  </r>
  <r>
    <n v="32"/>
    <s v="Yes"/>
    <s v="Travel_Rarely"/>
    <n v="414"/>
    <s v="Sales"/>
    <n v="2"/>
    <n v="4"/>
    <s v="Marketing"/>
    <n v="1"/>
    <n v="1862"/>
    <n v="3"/>
    <s v="Male"/>
    <n v="82"/>
    <n v="2"/>
    <x v="0"/>
    <s v="Sales Executive"/>
    <n v="2"/>
    <s v="Single"/>
    <x v="1228"/>
    <n v="26186"/>
    <n v="7"/>
    <s v="Y"/>
    <s v="Yes"/>
    <n v="12"/>
    <n v="3"/>
    <n v="3"/>
    <n v="80"/>
    <n v="0"/>
    <n v="7"/>
    <n v="3"/>
    <n v="2"/>
    <n v="2"/>
    <n v="2"/>
    <n v="2"/>
    <n v="2"/>
    <x v="2"/>
    <x v="2"/>
  </r>
  <r>
    <n v="46"/>
    <s v="No"/>
    <s v="Travel_Rarely"/>
    <n v="1319"/>
    <s v="Sales"/>
    <n v="3"/>
    <n v="3"/>
    <s v="Technical Degree"/>
    <n v="1"/>
    <n v="1863"/>
    <n v="1"/>
    <s v="Female"/>
    <n v="45"/>
    <n v="4"/>
    <x v="3"/>
    <s v="Sales Executive"/>
    <n v="1"/>
    <s v="Divorced"/>
    <x v="1229"/>
    <n v="7739"/>
    <n v="2"/>
    <s v="Y"/>
    <s v="No"/>
    <n v="12"/>
    <n v="3"/>
    <n v="4"/>
    <n v="80"/>
    <n v="1"/>
    <n v="25"/>
    <n v="5"/>
    <n v="3"/>
    <n v="19"/>
    <n v="17"/>
    <n v="2"/>
    <n v="8"/>
    <x v="1"/>
    <x v="3"/>
  </r>
  <r>
    <n v="27"/>
    <s v="No"/>
    <s v="Travel_Rarely"/>
    <n v="728"/>
    <s v="Sales"/>
    <n v="23"/>
    <n v="1"/>
    <s v="Medical"/>
    <n v="1"/>
    <n v="1864"/>
    <n v="2"/>
    <s v="Female"/>
    <n v="36"/>
    <n v="2"/>
    <x v="0"/>
    <s v="Sales Representative"/>
    <n v="3"/>
    <s v="Married"/>
    <x v="1230"/>
    <n v="7018"/>
    <n v="1"/>
    <s v="Y"/>
    <s v="No"/>
    <n v="21"/>
    <n v="4"/>
    <n v="4"/>
    <n v="80"/>
    <n v="1"/>
    <n v="9"/>
    <n v="5"/>
    <n v="3"/>
    <n v="9"/>
    <n v="8"/>
    <n v="5"/>
    <n v="8"/>
    <x v="2"/>
    <x v="0"/>
  </r>
  <r>
    <n v="29"/>
    <s v="No"/>
    <s v="Travel_Rarely"/>
    <n v="352"/>
    <s v="Human Resources"/>
    <n v="6"/>
    <n v="1"/>
    <s v="Medical"/>
    <n v="1"/>
    <n v="1865"/>
    <n v="4"/>
    <s v="Male"/>
    <n v="87"/>
    <n v="2"/>
    <x v="1"/>
    <s v="Human Resources"/>
    <n v="2"/>
    <s v="Married"/>
    <x v="1231"/>
    <n v="15434"/>
    <n v="1"/>
    <s v="Y"/>
    <s v="No"/>
    <n v="11"/>
    <n v="3"/>
    <n v="4"/>
    <n v="80"/>
    <n v="0"/>
    <n v="1"/>
    <n v="3"/>
    <n v="3"/>
    <n v="1"/>
    <n v="0"/>
    <n v="0"/>
    <n v="0"/>
    <x v="2"/>
    <x v="1"/>
  </r>
  <r>
    <n v="43"/>
    <s v="No"/>
    <s v="Travel_Rarely"/>
    <n v="823"/>
    <s v="Research &amp; Development"/>
    <n v="6"/>
    <n v="3"/>
    <s v="Medical"/>
    <n v="1"/>
    <n v="1866"/>
    <n v="1"/>
    <s v="Female"/>
    <n v="81"/>
    <n v="2"/>
    <x v="4"/>
    <s v="Manager"/>
    <n v="3"/>
    <s v="Married"/>
    <x v="1232"/>
    <n v="22539"/>
    <n v="7"/>
    <s v="Y"/>
    <s v="No"/>
    <n v="13"/>
    <n v="3"/>
    <n v="4"/>
    <n v="80"/>
    <n v="0"/>
    <n v="21"/>
    <n v="2"/>
    <n v="3"/>
    <n v="16"/>
    <n v="12"/>
    <n v="6"/>
    <n v="14"/>
    <x v="0"/>
    <x v="3"/>
  </r>
  <r>
    <n v="48"/>
    <s v="No"/>
    <s v="Travel_Rarely"/>
    <n v="1224"/>
    <s v="Research &amp; Development"/>
    <n v="10"/>
    <n v="3"/>
    <s v="Life Sciences"/>
    <n v="1"/>
    <n v="1867"/>
    <n v="4"/>
    <s v="Male"/>
    <n v="91"/>
    <n v="2"/>
    <x v="4"/>
    <s v="Research Director"/>
    <n v="2"/>
    <s v="Married"/>
    <x v="1233"/>
    <n v="13583"/>
    <n v="4"/>
    <s v="Y"/>
    <s v="No"/>
    <n v="12"/>
    <n v="3"/>
    <n v="4"/>
    <n v="80"/>
    <n v="0"/>
    <n v="29"/>
    <n v="3"/>
    <n v="3"/>
    <n v="22"/>
    <n v="10"/>
    <n v="12"/>
    <n v="9"/>
    <x v="1"/>
    <x v="3"/>
  </r>
  <r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x v="1"/>
    <s v="Research Scientist"/>
    <n v="4"/>
    <s v="Single"/>
    <x v="1234"/>
    <n v="14753"/>
    <n v="1"/>
    <s v="Y"/>
    <s v="Yes"/>
    <n v="24"/>
    <n v="4"/>
    <n v="2"/>
    <n v="80"/>
    <n v="0"/>
    <n v="1"/>
    <n v="3"/>
    <n v="2"/>
    <n v="1"/>
    <n v="0"/>
    <n v="1"/>
    <n v="0"/>
    <x v="2"/>
    <x v="1"/>
  </r>
  <r>
    <n v="46"/>
    <s v="Yes"/>
    <s v="Travel_Rarely"/>
    <n v="1254"/>
    <s v="Sales"/>
    <n v="10"/>
    <n v="3"/>
    <s v="Life Sciences"/>
    <n v="1"/>
    <n v="1869"/>
    <n v="3"/>
    <s v="Female"/>
    <n v="64"/>
    <n v="3"/>
    <x v="2"/>
    <s v="Sales Executive"/>
    <n v="2"/>
    <s v="Married"/>
    <x v="1235"/>
    <n v="14011"/>
    <n v="5"/>
    <s v="Y"/>
    <s v="No"/>
    <n v="21"/>
    <n v="4"/>
    <n v="3"/>
    <n v="80"/>
    <n v="3"/>
    <n v="14"/>
    <n v="2"/>
    <n v="3"/>
    <n v="8"/>
    <n v="7"/>
    <n v="0"/>
    <n v="7"/>
    <x v="1"/>
    <x v="2"/>
  </r>
  <r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x v="1"/>
    <s v="Research Scientist"/>
    <n v="1"/>
    <s v="Married"/>
    <x v="1236"/>
    <n v="23844"/>
    <n v="0"/>
    <s v="Y"/>
    <s v="No"/>
    <n v="19"/>
    <n v="3"/>
    <n v="4"/>
    <n v="80"/>
    <n v="1"/>
    <n v="8"/>
    <n v="2"/>
    <n v="2"/>
    <n v="7"/>
    <n v="6"/>
    <n v="7"/>
    <n v="3"/>
    <x v="2"/>
    <x v="0"/>
  </r>
  <r>
    <n v="39"/>
    <s v="No"/>
    <s v="Travel_Rarely"/>
    <n v="835"/>
    <s v="Research &amp; Development"/>
    <n v="19"/>
    <n v="4"/>
    <s v="Other"/>
    <n v="1"/>
    <n v="1871"/>
    <n v="4"/>
    <s v="Male"/>
    <n v="41"/>
    <n v="3"/>
    <x v="0"/>
    <s v="Research Scientist"/>
    <n v="4"/>
    <s v="Divorced"/>
    <x v="1237"/>
    <n v="5141"/>
    <n v="8"/>
    <s v="Y"/>
    <s v="No"/>
    <n v="14"/>
    <n v="3"/>
    <n v="2"/>
    <n v="80"/>
    <n v="3"/>
    <n v="7"/>
    <n v="2"/>
    <n v="3"/>
    <n v="2"/>
    <n v="2"/>
    <n v="2"/>
    <n v="2"/>
    <x v="0"/>
    <x v="0"/>
  </r>
  <r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x v="1"/>
    <s v="Research Scientist"/>
    <n v="4"/>
    <s v="Married"/>
    <x v="1238"/>
    <n v="7975"/>
    <n v="8"/>
    <s v="Y"/>
    <s v="No"/>
    <n v="20"/>
    <n v="4"/>
    <n v="2"/>
    <n v="80"/>
    <n v="1"/>
    <n v="19"/>
    <n v="2"/>
    <n v="4"/>
    <n v="5"/>
    <n v="2"/>
    <n v="0"/>
    <n v="4"/>
    <x v="1"/>
    <x v="1"/>
  </r>
  <r>
    <n v="28"/>
    <s v="No"/>
    <s v="Travel_Rarely"/>
    <n v="1172"/>
    <s v="Sales"/>
    <n v="3"/>
    <n v="3"/>
    <s v="Medical"/>
    <n v="1"/>
    <n v="1875"/>
    <n v="2"/>
    <s v="Female"/>
    <n v="78"/>
    <n v="3"/>
    <x v="1"/>
    <s v="Sales Representative"/>
    <n v="2"/>
    <s v="Married"/>
    <x v="1239"/>
    <n v="3692"/>
    <n v="1"/>
    <s v="Y"/>
    <s v="No"/>
    <n v="19"/>
    <n v="3"/>
    <n v="4"/>
    <n v="80"/>
    <n v="1"/>
    <n v="1"/>
    <n v="3"/>
    <n v="3"/>
    <n v="1"/>
    <n v="0"/>
    <n v="0"/>
    <n v="0"/>
    <x v="2"/>
    <x v="1"/>
  </r>
  <r>
    <n v="30"/>
    <s v="Yes"/>
    <s v="Travel_Rarely"/>
    <n v="945"/>
    <s v="Sales"/>
    <n v="9"/>
    <n v="3"/>
    <s v="Medical"/>
    <n v="1"/>
    <n v="1876"/>
    <n v="2"/>
    <s v="Male"/>
    <n v="89"/>
    <n v="3"/>
    <x v="1"/>
    <s v="Sales Representative"/>
    <n v="4"/>
    <s v="Single"/>
    <x v="1240"/>
    <n v="16019"/>
    <n v="1"/>
    <s v="Y"/>
    <s v="No"/>
    <n v="13"/>
    <n v="3"/>
    <n v="3"/>
    <n v="80"/>
    <n v="0"/>
    <n v="1"/>
    <n v="3"/>
    <n v="2"/>
    <n v="1"/>
    <n v="0"/>
    <n v="0"/>
    <n v="0"/>
    <x v="2"/>
    <x v="1"/>
  </r>
  <r>
    <n v="22"/>
    <s v="Yes"/>
    <s v="Travel_Rarely"/>
    <n v="391"/>
    <s v="Research &amp; Development"/>
    <n v="7"/>
    <n v="1"/>
    <s v="Life Sciences"/>
    <n v="1"/>
    <n v="1878"/>
    <n v="4"/>
    <s v="Male"/>
    <n v="75"/>
    <n v="3"/>
    <x v="1"/>
    <s v="Research Scientist"/>
    <n v="2"/>
    <s v="Single"/>
    <x v="1241"/>
    <n v="26092"/>
    <n v="1"/>
    <s v="Y"/>
    <s v="Yes"/>
    <n v="23"/>
    <n v="4"/>
    <n v="1"/>
    <n v="80"/>
    <n v="0"/>
    <n v="1"/>
    <n v="2"/>
    <n v="3"/>
    <n v="1"/>
    <n v="0"/>
    <n v="0"/>
    <n v="0"/>
    <x v="4"/>
    <x v="1"/>
  </r>
  <r>
    <n v="36"/>
    <s v="No"/>
    <s v="Travel_Rarely"/>
    <n v="1266"/>
    <s v="Sales"/>
    <n v="10"/>
    <n v="4"/>
    <s v="Technical Degree"/>
    <n v="1"/>
    <n v="1880"/>
    <n v="2"/>
    <s v="Female"/>
    <n v="63"/>
    <n v="2"/>
    <x v="0"/>
    <s v="Sales Executive"/>
    <n v="3"/>
    <s v="Married"/>
    <x v="1242"/>
    <n v="6060"/>
    <n v="1"/>
    <s v="Y"/>
    <s v="Yes"/>
    <n v="13"/>
    <n v="3"/>
    <n v="1"/>
    <n v="80"/>
    <n v="1"/>
    <n v="10"/>
    <n v="4"/>
    <n v="3"/>
    <n v="10"/>
    <n v="9"/>
    <n v="1"/>
    <n v="7"/>
    <x v="0"/>
    <x v="0"/>
  </r>
  <r>
    <n v="31"/>
    <s v="No"/>
    <s v="Travel_Rarely"/>
    <n v="311"/>
    <s v="Research &amp; Development"/>
    <n v="20"/>
    <n v="3"/>
    <s v="Life Sciences"/>
    <n v="1"/>
    <n v="1881"/>
    <n v="2"/>
    <s v="Male"/>
    <n v="89"/>
    <n v="3"/>
    <x v="0"/>
    <s v="Laboratory Technician"/>
    <n v="3"/>
    <s v="Divorced"/>
    <x v="378"/>
    <n v="18624"/>
    <n v="1"/>
    <s v="Y"/>
    <s v="No"/>
    <n v="11"/>
    <n v="3"/>
    <n v="1"/>
    <n v="80"/>
    <n v="1"/>
    <n v="10"/>
    <n v="2"/>
    <n v="3"/>
    <n v="10"/>
    <n v="8"/>
    <n v="0"/>
    <n v="2"/>
    <x v="2"/>
    <x v="0"/>
  </r>
  <r>
    <n v="34"/>
    <s v="No"/>
    <s v="Travel_Rarely"/>
    <n v="1480"/>
    <s v="Sales"/>
    <n v="4"/>
    <n v="3"/>
    <s v="Life Sciences"/>
    <n v="1"/>
    <n v="1882"/>
    <n v="3"/>
    <s v="Male"/>
    <n v="64"/>
    <n v="3"/>
    <x v="2"/>
    <s v="Sales Executive"/>
    <n v="4"/>
    <s v="Married"/>
    <x v="1243"/>
    <n v="24444"/>
    <n v="2"/>
    <s v="Y"/>
    <s v="Yes"/>
    <n v="13"/>
    <n v="3"/>
    <n v="4"/>
    <n v="80"/>
    <n v="3"/>
    <n v="9"/>
    <n v="3"/>
    <n v="3"/>
    <n v="5"/>
    <n v="3"/>
    <n v="1"/>
    <n v="0"/>
    <x v="2"/>
    <x v="2"/>
  </r>
  <r>
    <n v="29"/>
    <s v="No"/>
    <s v="Travel_Rarely"/>
    <n v="592"/>
    <s v="Research &amp; Development"/>
    <n v="7"/>
    <n v="3"/>
    <s v="Life Sciences"/>
    <n v="1"/>
    <n v="1883"/>
    <n v="4"/>
    <s v="Male"/>
    <n v="59"/>
    <n v="3"/>
    <x v="1"/>
    <s v="Laboratory Technician"/>
    <n v="1"/>
    <s v="Single"/>
    <x v="1244"/>
    <n v="19384"/>
    <n v="3"/>
    <s v="Y"/>
    <s v="No"/>
    <n v="14"/>
    <n v="3"/>
    <n v="2"/>
    <n v="80"/>
    <n v="0"/>
    <n v="11"/>
    <n v="2"/>
    <n v="3"/>
    <n v="3"/>
    <n v="2"/>
    <n v="1"/>
    <n v="2"/>
    <x v="2"/>
    <x v="1"/>
  </r>
  <r>
    <n v="37"/>
    <s v="No"/>
    <s v="Travel_Rarely"/>
    <n v="783"/>
    <s v="Research &amp; Development"/>
    <n v="7"/>
    <n v="4"/>
    <s v="Medical"/>
    <n v="1"/>
    <n v="1885"/>
    <n v="4"/>
    <s v="Male"/>
    <n v="78"/>
    <n v="3"/>
    <x v="0"/>
    <s v="Research Scientist"/>
    <n v="1"/>
    <s v="Married"/>
    <x v="948"/>
    <n v="13588"/>
    <n v="5"/>
    <s v="Y"/>
    <s v="Yes"/>
    <n v="22"/>
    <n v="4"/>
    <n v="3"/>
    <n v="80"/>
    <n v="1"/>
    <n v="16"/>
    <n v="2"/>
    <n v="3"/>
    <n v="5"/>
    <n v="3"/>
    <n v="0"/>
    <n v="4"/>
    <x v="0"/>
    <x v="0"/>
  </r>
  <r>
    <n v="35"/>
    <s v="No"/>
    <s v="Travel_Rarely"/>
    <n v="219"/>
    <s v="Research &amp; Development"/>
    <n v="16"/>
    <n v="2"/>
    <s v="Other"/>
    <n v="1"/>
    <n v="1886"/>
    <n v="4"/>
    <s v="Female"/>
    <n v="44"/>
    <n v="2"/>
    <x v="0"/>
    <s v="Manufacturing Director"/>
    <n v="2"/>
    <s v="Married"/>
    <x v="1245"/>
    <n v="25388"/>
    <n v="0"/>
    <s v="Y"/>
    <s v="Yes"/>
    <n v="11"/>
    <n v="3"/>
    <n v="4"/>
    <n v="80"/>
    <n v="0"/>
    <n v="4"/>
    <n v="2"/>
    <n v="3"/>
    <n v="3"/>
    <n v="2"/>
    <n v="0"/>
    <n v="2"/>
    <x v="2"/>
    <x v="0"/>
  </r>
  <r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x v="0"/>
    <s v="Manufacturing Director"/>
    <n v="4"/>
    <s v="Married"/>
    <x v="1246"/>
    <n v="23888"/>
    <n v="0"/>
    <s v="Y"/>
    <s v="No"/>
    <n v="13"/>
    <n v="3"/>
    <n v="4"/>
    <n v="80"/>
    <n v="2"/>
    <n v="10"/>
    <n v="2"/>
    <n v="2"/>
    <n v="9"/>
    <n v="8"/>
    <n v="3"/>
    <n v="8"/>
    <x v="0"/>
    <x v="0"/>
  </r>
  <r>
    <n v="36"/>
    <s v="No"/>
    <s v="Travel_Frequently"/>
    <n v="1213"/>
    <s v="Human Resources"/>
    <n v="2"/>
    <n v="1"/>
    <s v="Human Resources"/>
    <n v="1"/>
    <n v="1890"/>
    <n v="2"/>
    <s v="Male"/>
    <n v="94"/>
    <n v="2"/>
    <x v="0"/>
    <s v="Human Resources"/>
    <n v="4"/>
    <s v="Single"/>
    <x v="1247"/>
    <n v="4223"/>
    <n v="1"/>
    <s v="Y"/>
    <s v="No"/>
    <n v="21"/>
    <n v="4"/>
    <n v="4"/>
    <n v="80"/>
    <n v="0"/>
    <n v="10"/>
    <n v="2"/>
    <n v="2"/>
    <n v="10"/>
    <n v="1"/>
    <n v="0"/>
    <n v="8"/>
    <x v="0"/>
    <x v="0"/>
  </r>
  <r>
    <n v="40"/>
    <s v="No"/>
    <s v="Travel_Rarely"/>
    <n v="1137"/>
    <s v="Research &amp; Development"/>
    <n v="1"/>
    <n v="4"/>
    <s v="Life Sciences"/>
    <n v="1"/>
    <n v="1892"/>
    <n v="1"/>
    <s v="Male"/>
    <n v="98"/>
    <n v="3"/>
    <x v="3"/>
    <s v="Manager"/>
    <n v="1"/>
    <s v="Divorced"/>
    <x v="1248"/>
    <n v="18991"/>
    <n v="2"/>
    <s v="Y"/>
    <s v="No"/>
    <n v="11"/>
    <n v="3"/>
    <n v="1"/>
    <n v="80"/>
    <n v="1"/>
    <n v="22"/>
    <n v="3"/>
    <n v="3"/>
    <n v="19"/>
    <n v="7"/>
    <n v="11"/>
    <n v="16"/>
    <x v="0"/>
    <x v="3"/>
  </r>
  <r>
    <n v="26"/>
    <s v="No"/>
    <s v="Travel_Rarely"/>
    <n v="482"/>
    <s v="Research &amp; Development"/>
    <n v="1"/>
    <n v="2"/>
    <s v="Life Sciences"/>
    <n v="1"/>
    <n v="1893"/>
    <n v="2"/>
    <s v="Female"/>
    <n v="90"/>
    <n v="2"/>
    <x v="1"/>
    <s v="Research Scientist"/>
    <n v="3"/>
    <s v="Married"/>
    <x v="1249"/>
    <n v="14908"/>
    <n v="1"/>
    <s v="Y"/>
    <s v="Yes"/>
    <n v="13"/>
    <n v="3"/>
    <n v="3"/>
    <n v="80"/>
    <n v="1"/>
    <n v="1"/>
    <n v="3"/>
    <n v="2"/>
    <n v="1"/>
    <n v="0"/>
    <n v="1"/>
    <n v="0"/>
    <x v="2"/>
    <x v="1"/>
  </r>
  <r>
    <n v="27"/>
    <s v="No"/>
    <s v="Travel_Rarely"/>
    <n v="511"/>
    <s v="Sales"/>
    <n v="2"/>
    <n v="2"/>
    <s v="Medical"/>
    <n v="1"/>
    <n v="1898"/>
    <n v="1"/>
    <s v="Female"/>
    <n v="89"/>
    <n v="4"/>
    <x v="0"/>
    <s v="Sales Executive"/>
    <n v="3"/>
    <s v="Single"/>
    <x v="559"/>
    <n v="26997"/>
    <n v="0"/>
    <s v="Y"/>
    <s v="No"/>
    <n v="14"/>
    <n v="3"/>
    <n v="2"/>
    <n v="80"/>
    <n v="0"/>
    <n v="9"/>
    <n v="5"/>
    <n v="2"/>
    <n v="8"/>
    <n v="7"/>
    <n v="0"/>
    <n v="7"/>
    <x v="2"/>
    <x v="0"/>
  </r>
  <r>
    <n v="48"/>
    <s v="No"/>
    <s v="Travel_Frequently"/>
    <n v="117"/>
    <s v="Research &amp; Development"/>
    <n v="22"/>
    <n v="3"/>
    <s v="Medical"/>
    <n v="1"/>
    <n v="1900"/>
    <n v="4"/>
    <s v="Female"/>
    <n v="58"/>
    <n v="3"/>
    <x v="3"/>
    <s v="Manager"/>
    <n v="4"/>
    <s v="Divorced"/>
    <x v="1250"/>
    <n v="2437"/>
    <n v="3"/>
    <s v="Y"/>
    <s v="No"/>
    <n v="11"/>
    <n v="3"/>
    <n v="2"/>
    <n v="80"/>
    <n v="1"/>
    <n v="24"/>
    <n v="3"/>
    <n v="3"/>
    <n v="22"/>
    <n v="17"/>
    <n v="4"/>
    <n v="7"/>
    <x v="1"/>
    <x v="3"/>
  </r>
  <r>
    <n v="44"/>
    <s v="No"/>
    <s v="Travel_Rarely"/>
    <n v="170"/>
    <s v="Research &amp; Development"/>
    <n v="1"/>
    <n v="4"/>
    <s v="Life Sciences"/>
    <n v="1"/>
    <n v="1903"/>
    <n v="2"/>
    <s v="Male"/>
    <n v="78"/>
    <n v="4"/>
    <x v="0"/>
    <s v="Healthcare Representative"/>
    <n v="1"/>
    <s v="Married"/>
    <x v="1251"/>
    <n v="9364"/>
    <n v="2"/>
    <s v="Y"/>
    <s v="No"/>
    <n v="15"/>
    <n v="3"/>
    <n v="4"/>
    <n v="80"/>
    <n v="1"/>
    <n v="10"/>
    <n v="5"/>
    <n v="3"/>
    <n v="2"/>
    <n v="0"/>
    <n v="2"/>
    <n v="2"/>
    <x v="0"/>
    <x v="0"/>
  </r>
  <r>
    <n v="34"/>
    <s v="Yes"/>
    <s v="Non-Travel"/>
    <n v="967"/>
    <s v="Research &amp; Development"/>
    <n v="16"/>
    <n v="4"/>
    <s v="Technical Degree"/>
    <n v="1"/>
    <n v="1905"/>
    <n v="4"/>
    <s v="Male"/>
    <n v="85"/>
    <n v="1"/>
    <x v="1"/>
    <s v="Research Scientist"/>
    <n v="1"/>
    <s v="Married"/>
    <x v="1252"/>
    <n v="14460"/>
    <n v="1"/>
    <s v="Y"/>
    <s v="Yes"/>
    <n v="23"/>
    <n v="4"/>
    <n v="2"/>
    <n v="80"/>
    <n v="1"/>
    <n v="5"/>
    <n v="2"/>
    <n v="3"/>
    <n v="5"/>
    <n v="2"/>
    <n v="3"/>
    <n v="0"/>
    <x v="2"/>
    <x v="1"/>
  </r>
  <r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x v="1"/>
    <s v="Laboratory Technician"/>
    <n v="4"/>
    <s v="Single"/>
    <x v="1105"/>
    <n v="10261"/>
    <n v="1"/>
    <s v="Y"/>
    <s v="No"/>
    <n v="16"/>
    <n v="3"/>
    <n v="4"/>
    <n v="80"/>
    <n v="0"/>
    <n v="5"/>
    <n v="3"/>
    <n v="3"/>
    <n v="4"/>
    <n v="2"/>
    <n v="1"/>
    <n v="0"/>
    <x v="3"/>
    <x v="1"/>
  </r>
  <r>
    <n v="36"/>
    <s v="No"/>
    <s v="Travel_Rarely"/>
    <n v="335"/>
    <s v="Sales"/>
    <n v="17"/>
    <n v="2"/>
    <s v="Marketing"/>
    <n v="1"/>
    <n v="1908"/>
    <n v="3"/>
    <s v="Male"/>
    <n v="33"/>
    <n v="2"/>
    <x v="0"/>
    <s v="Sales Executive"/>
    <n v="2"/>
    <s v="Married"/>
    <x v="1253"/>
    <n v="16822"/>
    <n v="2"/>
    <s v="Y"/>
    <s v="No"/>
    <n v="16"/>
    <n v="3"/>
    <n v="3"/>
    <n v="80"/>
    <n v="2"/>
    <n v="12"/>
    <n v="1"/>
    <n v="1"/>
    <n v="4"/>
    <n v="2"/>
    <n v="1"/>
    <n v="3"/>
    <x v="0"/>
    <x v="0"/>
  </r>
  <r>
    <n v="41"/>
    <s v="No"/>
    <s v="Travel_Rarely"/>
    <n v="337"/>
    <s v="Sales"/>
    <n v="8"/>
    <n v="3"/>
    <s v="Marketing"/>
    <n v="1"/>
    <n v="1909"/>
    <n v="3"/>
    <s v="Female"/>
    <n v="54"/>
    <n v="3"/>
    <x v="0"/>
    <s v="Sales Executive"/>
    <n v="2"/>
    <s v="Married"/>
    <x v="1254"/>
    <n v="26841"/>
    <n v="5"/>
    <s v="Y"/>
    <s v="No"/>
    <n v="21"/>
    <n v="4"/>
    <n v="3"/>
    <n v="80"/>
    <n v="1"/>
    <n v="14"/>
    <n v="3"/>
    <n v="3"/>
    <n v="5"/>
    <n v="4"/>
    <n v="1"/>
    <n v="4"/>
    <x v="0"/>
    <x v="0"/>
  </r>
  <r>
    <n v="42"/>
    <s v="No"/>
    <s v="Travel_Rarely"/>
    <n v="1396"/>
    <s v="Research &amp; Development"/>
    <n v="6"/>
    <n v="3"/>
    <s v="Medical"/>
    <n v="1"/>
    <n v="1911"/>
    <n v="3"/>
    <s v="Male"/>
    <n v="83"/>
    <n v="3"/>
    <x v="2"/>
    <s v="Research Director"/>
    <n v="1"/>
    <s v="Married"/>
    <x v="1255"/>
    <n v="14842"/>
    <n v="9"/>
    <s v="Y"/>
    <s v="No"/>
    <n v="13"/>
    <n v="3"/>
    <n v="2"/>
    <n v="80"/>
    <n v="1"/>
    <n v="18"/>
    <n v="3"/>
    <n v="4"/>
    <n v="13"/>
    <n v="7"/>
    <n v="5"/>
    <n v="7"/>
    <x v="0"/>
    <x v="3"/>
  </r>
  <r>
    <n v="31"/>
    <s v="No"/>
    <s v="Travel_Rarely"/>
    <n v="1079"/>
    <s v="Sales"/>
    <n v="10"/>
    <n v="2"/>
    <s v="Medical"/>
    <n v="1"/>
    <n v="1912"/>
    <n v="3"/>
    <s v="Female"/>
    <n v="86"/>
    <n v="3"/>
    <x v="0"/>
    <s v="Sales Executive"/>
    <n v="4"/>
    <s v="Divorced"/>
    <x v="1256"/>
    <n v="20115"/>
    <n v="2"/>
    <s v="Y"/>
    <s v="Yes"/>
    <n v="11"/>
    <n v="3"/>
    <n v="4"/>
    <n v="80"/>
    <n v="1"/>
    <n v="8"/>
    <n v="2"/>
    <n v="3"/>
    <n v="5"/>
    <n v="2"/>
    <n v="1"/>
    <n v="4"/>
    <x v="2"/>
    <x v="0"/>
  </r>
  <r>
    <n v="34"/>
    <s v="No"/>
    <s v="Travel_Rarely"/>
    <n v="735"/>
    <s v="Sales"/>
    <n v="3"/>
    <n v="1"/>
    <s v="Medical"/>
    <n v="1"/>
    <n v="1915"/>
    <n v="4"/>
    <s v="Female"/>
    <n v="75"/>
    <n v="2"/>
    <x v="0"/>
    <s v="Sales Executive"/>
    <n v="4"/>
    <s v="Married"/>
    <x v="1257"/>
    <n v="16495"/>
    <n v="3"/>
    <s v="Y"/>
    <s v="Yes"/>
    <n v="12"/>
    <n v="3"/>
    <n v="3"/>
    <n v="80"/>
    <n v="0"/>
    <n v="9"/>
    <n v="3"/>
    <n v="2"/>
    <n v="4"/>
    <n v="2"/>
    <n v="0"/>
    <n v="1"/>
    <x v="2"/>
    <x v="2"/>
  </r>
  <r>
    <n v="31"/>
    <s v="No"/>
    <s v="Travel_Rarely"/>
    <n v="471"/>
    <s v="Research &amp; Development"/>
    <n v="4"/>
    <n v="3"/>
    <s v="Medical"/>
    <n v="1"/>
    <n v="1916"/>
    <n v="1"/>
    <s v="Female"/>
    <n v="62"/>
    <n v="4"/>
    <x v="1"/>
    <s v="Laboratory Technician"/>
    <n v="3"/>
    <s v="Divorced"/>
    <x v="1258"/>
    <n v="16031"/>
    <n v="8"/>
    <s v="Y"/>
    <s v="No"/>
    <n v="12"/>
    <n v="3"/>
    <n v="2"/>
    <n v="80"/>
    <n v="1"/>
    <n v="4"/>
    <n v="0"/>
    <n v="2"/>
    <n v="2"/>
    <n v="2"/>
    <n v="2"/>
    <n v="2"/>
    <x v="2"/>
    <x v="0"/>
  </r>
  <r>
    <n v="26"/>
    <s v="No"/>
    <s v="Travel_Frequently"/>
    <n v="1096"/>
    <s v="Research &amp; Development"/>
    <n v="6"/>
    <n v="3"/>
    <s v="Other"/>
    <n v="1"/>
    <n v="1918"/>
    <n v="3"/>
    <s v="Male"/>
    <n v="61"/>
    <n v="4"/>
    <x v="1"/>
    <s v="Laboratory Technician"/>
    <n v="4"/>
    <s v="Married"/>
    <x v="1259"/>
    <n v="7102"/>
    <n v="0"/>
    <s v="Y"/>
    <s v="No"/>
    <n v="18"/>
    <n v="3"/>
    <n v="1"/>
    <n v="80"/>
    <n v="1"/>
    <n v="8"/>
    <n v="3"/>
    <n v="3"/>
    <n v="7"/>
    <n v="7"/>
    <n v="7"/>
    <n v="7"/>
    <x v="2"/>
    <x v="1"/>
  </r>
  <r>
    <n v="45"/>
    <s v="No"/>
    <s v="Travel_Frequently"/>
    <n v="1297"/>
    <s v="Research &amp; Development"/>
    <n v="1"/>
    <n v="4"/>
    <s v="Medical"/>
    <n v="1"/>
    <n v="1922"/>
    <n v="2"/>
    <s v="Male"/>
    <n v="44"/>
    <n v="3"/>
    <x v="0"/>
    <s v="Healthcare Representative"/>
    <n v="3"/>
    <s v="Single"/>
    <x v="1260"/>
    <n v="14511"/>
    <n v="4"/>
    <s v="Y"/>
    <s v="No"/>
    <n v="12"/>
    <n v="3"/>
    <n v="3"/>
    <n v="80"/>
    <n v="0"/>
    <n v="12"/>
    <n v="3"/>
    <n v="3"/>
    <n v="4"/>
    <n v="2"/>
    <n v="0"/>
    <n v="3"/>
    <x v="0"/>
    <x v="0"/>
  </r>
  <r>
    <n v="33"/>
    <s v="No"/>
    <s v="Travel_Rarely"/>
    <n v="217"/>
    <s v="Sales"/>
    <n v="10"/>
    <n v="4"/>
    <s v="Marketing"/>
    <n v="1"/>
    <n v="1924"/>
    <n v="2"/>
    <s v="Male"/>
    <n v="43"/>
    <n v="3"/>
    <x v="0"/>
    <s v="Sales Executive"/>
    <n v="3"/>
    <s v="Single"/>
    <x v="1261"/>
    <n v="10410"/>
    <n v="1"/>
    <s v="Y"/>
    <s v="No"/>
    <n v="14"/>
    <n v="3"/>
    <n v="2"/>
    <n v="80"/>
    <n v="0"/>
    <n v="10"/>
    <n v="2"/>
    <n v="2"/>
    <n v="10"/>
    <n v="4"/>
    <n v="0"/>
    <n v="9"/>
    <x v="2"/>
    <x v="0"/>
  </r>
  <r>
    <n v="28"/>
    <s v="No"/>
    <s v="Travel_Frequently"/>
    <n v="783"/>
    <s v="Sales"/>
    <n v="1"/>
    <n v="2"/>
    <s v="Life Sciences"/>
    <n v="1"/>
    <n v="1927"/>
    <n v="3"/>
    <s v="Male"/>
    <n v="42"/>
    <n v="2"/>
    <x v="0"/>
    <s v="Sales Executive"/>
    <n v="4"/>
    <s v="Married"/>
    <x v="1262"/>
    <n v="19255"/>
    <n v="1"/>
    <s v="Y"/>
    <s v="Yes"/>
    <n v="12"/>
    <n v="3"/>
    <n v="3"/>
    <n v="80"/>
    <n v="1"/>
    <n v="7"/>
    <n v="2"/>
    <n v="3"/>
    <n v="7"/>
    <n v="7"/>
    <n v="0"/>
    <n v="7"/>
    <x v="2"/>
    <x v="0"/>
  </r>
  <r>
    <n v="29"/>
    <s v="Yes"/>
    <s v="Travel_Frequently"/>
    <n v="746"/>
    <s v="Sales"/>
    <n v="24"/>
    <n v="3"/>
    <s v="Technical Degree"/>
    <n v="1"/>
    <n v="1928"/>
    <n v="3"/>
    <s v="Male"/>
    <n v="45"/>
    <n v="4"/>
    <x v="1"/>
    <s v="Sales Representative"/>
    <n v="1"/>
    <s v="Single"/>
    <x v="1263"/>
    <n v="10642"/>
    <n v="1"/>
    <s v="Y"/>
    <s v="No"/>
    <n v="17"/>
    <n v="3"/>
    <n v="4"/>
    <n v="80"/>
    <n v="0"/>
    <n v="1"/>
    <n v="3"/>
    <n v="3"/>
    <n v="1"/>
    <n v="0"/>
    <n v="0"/>
    <n v="0"/>
    <x v="2"/>
    <x v="1"/>
  </r>
  <r>
    <n v="39"/>
    <s v="No"/>
    <s v="Non-Travel"/>
    <n v="1251"/>
    <s v="Sales"/>
    <n v="21"/>
    <n v="4"/>
    <s v="Life Sciences"/>
    <n v="1"/>
    <n v="1929"/>
    <n v="1"/>
    <s v="Female"/>
    <n v="32"/>
    <n v="1"/>
    <x v="0"/>
    <s v="Sales Executive"/>
    <n v="3"/>
    <s v="Married"/>
    <x v="1264"/>
    <n v="3987"/>
    <n v="6"/>
    <s v="Y"/>
    <s v="No"/>
    <n v="19"/>
    <n v="3"/>
    <n v="3"/>
    <n v="80"/>
    <n v="1"/>
    <n v="10"/>
    <n v="1"/>
    <n v="3"/>
    <n v="3"/>
    <n v="2"/>
    <n v="1"/>
    <n v="2"/>
    <x v="0"/>
    <x v="0"/>
  </r>
  <r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x v="1"/>
    <s v="Research Scientist"/>
    <n v="2"/>
    <s v="Married"/>
    <x v="1265"/>
    <n v="6073"/>
    <n v="1"/>
    <s v="Y"/>
    <s v="No"/>
    <n v="11"/>
    <n v="3"/>
    <n v="3"/>
    <n v="80"/>
    <n v="1"/>
    <n v="6"/>
    <n v="3"/>
    <n v="2"/>
    <n v="5"/>
    <n v="3"/>
    <n v="1"/>
    <n v="2"/>
    <x v="2"/>
    <x v="1"/>
  </r>
  <r>
    <n v="34"/>
    <s v="No"/>
    <s v="Travel_Frequently"/>
    <n v="735"/>
    <s v="Research &amp; Development"/>
    <n v="22"/>
    <n v="4"/>
    <s v="Other"/>
    <n v="1"/>
    <n v="1932"/>
    <n v="3"/>
    <s v="Male"/>
    <n v="86"/>
    <n v="2"/>
    <x v="0"/>
    <s v="Research Scientist"/>
    <n v="4"/>
    <s v="Married"/>
    <x v="1266"/>
    <n v="26496"/>
    <n v="1"/>
    <s v="Y"/>
    <s v="Yes"/>
    <n v="15"/>
    <n v="3"/>
    <n v="2"/>
    <n v="80"/>
    <n v="0"/>
    <n v="16"/>
    <n v="3"/>
    <n v="3"/>
    <n v="15"/>
    <n v="10"/>
    <n v="6"/>
    <n v="11"/>
    <x v="2"/>
    <x v="0"/>
  </r>
  <r>
    <n v="28"/>
    <s v="Yes"/>
    <s v="Travel_Rarely"/>
    <n v="1475"/>
    <s v="Sales"/>
    <n v="13"/>
    <n v="2"/>
    <s v="Marketing"/>
    <n v="1"/>
    <n v="1933"/>
    <n v="4"/>
    <s v="Female"/>
    <n v="84"/>
    <n v="3"/>
    <x v="0"/>
    <s v="Sales Executive"/>
    <n v="3"/>
    <s v="Single"/>
    <x v="1267"/>
    <n v="23352"/>
    <n v="3"/>
    <s v="Y"/>
    <s v="Yes"/>
    <n v="11"/>
    <n v="3"/>
    <n v="4"/>
    <n v="80"/>
    <n v="0"/>
    <n v="6"/>
    <n v="0"/>
    <n v="3"/>
    <n v="2"/>
    <n v="0"/>
    <n v="2"/>
    <n v="2"/>
    <x v="2"/>
    <x v="2"/>
  </r>
  <r>
    <n v="47"/>
    <s v="No"/>
    <s v="Non-Travel"/>
    <n v="1169"/>
    <s v="Research &amp; Development"/>
    <n v="14"/>
    <n v="4"/>
    <s v="Technical Degree"/>
    <n v="1"/>
    <n v="1934"/>
    <n v="3"/>
    <s v="Male"/>
    <n v="64"/>
    <n v="3"/>
    <x v="0"/>
    <s v="Research Scientist"/>
    <n v="2"/>
    <s v="Married"/>
    <x v="931"/>
    <n v="2125"/>
    <n v="8"/>
    <s v="Y"/>
    <s v="No"/>
    <n v="18"/>
    <n v="3"/>
    <n v="3"/>
    <n v="80"/>
    <n v="1"/>
    <n v="16"/>
    <n v="4"/>
    <n v="4"/>
    <n v="8"/>
    <n v="7"/>
    <n v="1"/>
    <n v="7"/>
    <x v="1"/>
    <x v="0"/>
  </r>
  <r>
    <n v="56"/>
    <s v="No"/>
    <s v="Travel_Rarely"/>
    <n v="1443"/>
    <s v="Sales"/>
    <n v="11"/>
    <n v="5"/>
    <s v="Marketing"/>
    <n v="1"/>
    <n v="1935"/>
    <n v="4"/>
    <s v="Female"/>
    <n v="89"/>
    <n v="2"/>
    <x v="0"/>
    <s v="Sales Executive"/>
    <n v="1"/>
    <s v="Married"/>
    <x v="1268"/>
    <n v="20328"/>
    <n v="4"/>
    <s v="Y"/>
    <s v="No"/>
    <n v="16"/>
    <n v="3"/>
    <n v="3"/>
    <n v="80"/>
    <n v="1"/>
    <n v="6"/>
    <n v="3"/>
    <n v="3"/>
    <n v="0"/>
    <n v="0"/>
    <n v="0"/>
    <n v="0"/>
    <x v="3"/>
    <x v="0"/>
  </r>
  <r>
    <n v="39"/>
    <s v="No"/>
    <s v="Travel_Rarely"/>
    <n v="867"/>
    <s v="Research &amp; Development"/>
    <n v="9"/>
    <n v="2"/>
    <s v="Medical"/>
    <n v="1"/>
    <n v="1936"/>
    <n v="1"/>
    <s v="Male"/>
    <n v="87"/>
    <n v="3"/>
    <x v="0"/>
    <s v="Manufacturing Director"/>
    <n v="1"/>
    <s v="Married"/>
    <x v="1269"/>
    <n v="12315"/>
    <n v="1"/>
    <s v="Y"/>
    <s v="No"/>
    <n v="25"/>
    <n v="4"/>
    <n v="4"/>
    <n v="80"/>
    <n v="1"/>
    <n v="10"/>
    <n v="3"/>
    <n v="3"/>
    <n v="10"/>
    <n v="0"/>
    <n v="7"/>
    <n v="9"/>
    <x v="0"/>
    <x v="0"/>
  </r>
  <r>
    <n v="38"/>
    <s v="No"/>
    <s v="Travel_Frequently"/>
    <n v="1394"/>
    <s v="Research &amp; Development"/>
    <n v="8"/>
    <n v="3"/>
    <s v="Medical"/>
    <n v="1"/>
    <n v="1937"/>
    <n v="4"/>
    <s v="Female"/>
    <n v="58"/>
    <n v="2"/>
    <x v="0"/>
    <s v="Research Scientist"/>
    <n v="2"/>
    <s v="Divorced"/>
    <x v="1270"/>
    <n v="18115"/>
    <n v="1"/>
    <s v="Y"/>
    <s v="Yes"/>
    <n v="16"/>
    <n v="3"/>
    <n v="3"/>
    <n v="80"/>
    <n v="1"/>
    <n v="20"/>
    <n v="3"/>
    <n v="3"/>
    <n v="20"/>
    <n v="11"/>
    <n v="0"/>
    <n v="7"/>
    <x v="0"/>
    <x v="1"/>
  </r>
  <r>
    <n v="58"/>
    <s v="No"/>
    <s v="Travel_Rarely"/>
    <n v="605"/>
    <s v="Sales"/>
    <n v="21"/>
    <n v="3"/>
    <s v="Life Sciences"/>
    <n v="1"/>
    <n v="1938"/>
    <n v="4"/>
    <s v="Female"/>
    <n v="72"/>
    <n v="3"/>
    <x v="3"/>
    <s v="Manager"/>
    <n v="4"/>
    <s v="Married"/>
    <x v="1271"/>
    <n v="11761"/>
    <n v="4"/>
    <s v="Y"/>
    <s v="Yes"/>
    <n v="13"/>
    <n v="3"/>
    <n v="3"/>
    <n v="80"/>
    <n v="1"/>
    <n v="29"/>
    <n v="2"/>
    <n v="2"/>
    <n v="1"/>
    <n v="0"/>
    <n v="0"/>
    <n v="0"/>
    <x v="3"/>
    <x v="3"/>
  </r>
  <r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x v="1"/>
    <s v="Research Scientist"/>
    <n v="3"/>
    <s v="Single"/>
    <x v="1272"/>
    <n v="15318"/>
    <n v="3"/>
    <s v="Y"/>
    <s v="Yes"/>
    <n v="14"/>
    <n v="3"/>
    <n v="1"/>
    <n v="80"/>
    <n v="0"/>
    <n v="8"/>
    <n v="2"/>
    <n v="3"/>
    <n v="4"/>
    <n v="1"/>
    <n v="0"/>
    <n v="3"/>
    <x v="2"/>
    <x v="1"/>
  </r>
  <r>
    <n v="38"/>
    <s v="No"/>
    <s v="Travel_Rarely"/>
    <n v="1206"/>
    <s v="Research &amp; Development"/>
    <n v="9"/>
    <n v="2"/>
    <s v="Life Sciences"/>
    <n v="1"/>
    <n v="1940"/>
    <n v="2"/>
    <s v="Male"/>
    <n v="71"/>
    <n v="3"/>
    <x v="1"/>
    <s v="Research Scientist"/>
    <n v="4"/>
    <s v="Divorced"/>
    <x v="1273"/>
    <n v="14293"/>
    <n v="2"/>
    <s v="Y"/>
    <s v="No"/>
    <n v="19"/>
    <n v="3"/>
    <n v="4"/>
    <n v="80"/>
    <n v="2"/>
    <n v="10"/>
    <n v="0"/>
    <n v="4"/>
    <n v="5"/>
    <n v="2"/>
    <n v="0"/>
    <n v="3"/>
    <x v="0"/>
    <x v="0"/>
  </r>
  <r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x v="4"/>
    <s v="Research Director"/>
    <n v="4"/>
    <s v="Married"/>
    <x v="1274"/>
    <n v="13738"/>
    <n v="3"/>
    <s v="Y"/>
    <s v="No"/>
    <n v="15"/>
    <n v="3"/>
    <n v="4"/>
    <n v="80"/>
    <n v="0"/>
    <n v="28"/>
    <n v="3"/>
    <n v="3"/>
    <n v="5"/>
    <n v="4"/>
    <n v="4"/>
    <n v="3"/>
    <x v="1"/>
    <x v="3"/>
  </r>
  <r>
    <n v="42"/>
    <s v="No"/>
    <s v="Travel_Rarely"/>
    <n v="419"/>
    <s v="Sales"/>
    <n v="12"/>
    <n v="4"/>
    <s v="Marketing"/>
    <n v="1"/>
    <n v="1943"/>
    <n v="2"/>
    <s v="Male"/>
    <n v="77"/>
    <n v="3"/>
    <x v="0"/>
    <s v="Sales Executive"/>
    <n v="4"/>
    <s v="Divorced"/>
    <x v="1275"/>
    <n v="2900"/>
    <n v="3"/>
    <s v="Y"/>
    <s v="Yes"/>
    <n v="12"/>
    <n v="3"/>
    <n v="3"/>
    <n v="80"/>
    <n v="2"/>
    <n v="14"/>
    <n v="4"/>
    <n v="3"/>
    <n v="0"/>
    <n v="0"/>
    <n v="0"/>
    <n v="0"/>
    <x v="0"/>
    <x v="0"/>
  </r>
  <r>
    <n v="27"/>
    <s v="Yes"/>
    <s v="Travel_Frequently"/>
    <n v="1337"/>
    <s v="Human Resources"/>
    <n v="22"/>
    <n v="3"/>
    <s v="Human Resources"/>
    <n v="1"/>
    <n v="1944"/>
    <n v="1"/>
    <s v="Female"/>
    <n v="58"/>
    <n v="2"/>
    <x v="1"/>
    <s v="Human Resources"/>
    <n v="2"/>
    <s v="Married"/>
    <x v="1276"/>
    <n v="19555"/>
    <n v="1"/>
    <s v="Y"/>
    <s v="No"/>
    <n v="12"/>
    <n v="3"/>
    <n v="1"/>
    <n v="80"/>
    <n v="0"/>
    <n v="1"/>
    <n v="2"/>
    <n v="3"/>
    <n v="1"/>
    <n v="0"/>
    <n v="0"/>
    <n v="0"/>
    <x v="2"/>
    <x v="1"/>
  </r>
  <r>
    <n v="35"/>
    <s v="No"/>
    <s v="Travel_Rarely"/>
    <n v="682"/>
    <s v="Sales"/>
    <n v="18"/>
    <n v="4"/>
    <s v="Medical"/>
    <n v="1"/>
    <n v="1945"/>
    <n v="2"/>
    <s v="Male"/>
    <n v="71"/>
    <n v="3"/>
    <x v="0"/>
    <s v="Sales Executive"/>
    <n v="1"/>
    <s v="Married"/>
    <x v="489"/>
    <n v="15975"/>
    <n v="0"/>
    <s v="Y"/>
    <s v="No"/>
    <n v="16"/>
    <n v="3"/>
    <n v="4"/>
    <n v="80"/>
    <n v="1"/>
    <n v="6"/>
    <n v="2"/>
    <n v="1"/>
    <n v="5"/>
    <n v="3"/>
    <n v="0"/>
    <n v="4"/>
    <x v="2"/>
    <x v="0"/>
  </r>
  <r>
    <n v="28"/>
    <s v="No"/>
    <s v="Non-Travel"/>
    <n v="1103"/>
    <s v="Research &amp; Development"/>
    <n v="16"/>
    <n v="3"/>
    <s v="Medical"/>
    <n v="1"/>
    <n v="1947"/>
    <n v="3"/>
    <s v="Male"/>
    <n v="49"/>
    <n v="3"/>
    <x v="1"/>
    <s v="Research Scientist"/>
    <n v="3"/>
    <s v="Single"/>
    <x v="1277"/>
    <n v="2122"/>
    <n v="1"/>
    <s v="Y"/>
    <s v="No"/>
    <n v="14"/>
    <n v="3"/>
    <n v="3"/>
    <n v="80"/>
    <n v="0"/>
    <n v="5"/>
    <n v="3"/>
    <n v="2"/>
    <n v="5"/>
    <n v="3"/>
    <n v="1"/>
    <n v="4"/>
    <x v="2"/>
    <x v="1"/>
  </r>
  <r>
    <n v="31"/>
    <s v="No"/>
    <s v="Non-Travel"/>
    <n v="976"/>
    <s v="Research &amp; Development"/>
    <n v="3"/>
    <n v="2"/>
    <s v="Medical"/>
    <n v="1"/>
    <n v="1948"/>
    <n v="3"/>
    <s v="Male"/>
    <n v="48"/>
    <n v="3"/>
    <x v="1"/>
    <s v="Research Scientist"/>
    <n v="1"/>
    <s v="Divorced"/>
    <x v="1278"/>
    <n v="3995"/>
    <n v="1"/>
    <s v="Y"/>
    <s v="Yes"/>
    <n v="13"/>
    <n v="3"/>
    <n v="4"/>
    <n v="80"/>
    <n v="1"/>
    <n v="4"/>
    <n v="3"/>
    <n v="4"/>
    <n v="4"/>
    <n v="2"/>
    <n v="2"/>
    <n v="3"/>
    <x v="2"/>
    <x v="0"/>
  </r>
  <r>
    <n v="36"/>
    <s v="No"/>
    <s v="Non-Travel"/>
    <n v="1351"/>
    <s v="Research &amp; Development"/>
    <n v="9"/>
    <n v="4"/>
    <s v="Life Sciences"/>
    <n v="1"/>
    <n v="1949"/>
    <n v="1"/>
    <s v="Male"/>
    <n v="66"/>
    <n v="4"/>
    <x v="1"/>
    <s v="Laboratory Technician"/>
    <n v="2"/>
    <s v="Married"/>
    <x v="1279"/>
    <n v="9238"/>
    <n v="1"/>
    <s v="Y"/>
    <s v="No"/>
    <n v="22"/>
    <n v="4"/>
    <n v="2"/>
    <n v="80"/>
    <n v="0"/>
    <n v="5"/>
    <n v="3"/>
    <n v="3"/>
    <n v="5"/>
    <n v="4"/>
    <n v="0"/>
    <n v="2"/>
    <x v="0"/>
    <x v="1"/>
  </r>
  <r>
    <n v="34"/>
    <s v="No"/>
    <s v="Travel_Rarely"/>
    <n v="937"/>
    <s v="Sales"/>
    <n v="1"/>
    <n v="3"/>
    <s v="Marketing"/>
    <n v="1"/>
    <n v="1950"/>
    <n v="1"/>
    <s v="Male"/>
    <n v="32"/>
    <n v="3"/>
    <x v="2"/>
    <s v="Sales Executive"/>
    <n v="4"/>
    <s v="Single"/>
    <x v="1280"/>
    <n v="6770"/>
    <n v="1"/>
    <s v="Y"/>
    <s v="No"/>
    <n v="21"/>
    <n v="4"/>
    <n v="1"/>
    <n v="80"/>
    <n v="0"/>
    <n v="14"/>
    <n v="3"/>
    <n v="2"/>
    <n v="14"/>
    <n v="8"/>
    <n v="2"/>
    <n v="1"/>
    <x v="2"/>
    <x v="2"/>
  </r>
  <r>
    <n v="34"/>
    <s v="No"/>
    <s v="Travel_Rarely"/>
    <n v="1239"/>
    <s v="Sales"/>
    <n v="13"/>
    <n v="4"/>
    <s v="Medical"/>
    <n v="1"/>
    <n v="1951"/>
    <n v="4"/>
    <s v="Male"/>
    <n v="39"/>
    <n v="3"/>
    <x v="2"/>
    <s v="Sales Executive"/>
    <n v="3"/>
    <s v="Divorced"/>
    <x v="1281"/>
    <n v="22914"/>
    <n v="1"/>
    <s v="Y"/>
    <s v="No"/>
    <n v="18"/>
    <n v="3"/>
    <n v="3"/>
    <n v="80"/>
    <n v="1"/>
    <n v="9"/>
    <n v="2"/>
    <n v="2"/>
    <n v="8"/>
    <n v="7"/>
    <n v="1"/>
    <n v="1"/>
    <x v="2"/>
    <x v="2"/>
  </r>
  <r>
    <n v="26"/>
    <s v="No"/>
    <s v="Travel_Rarely"/>
    <n v="157"/>
    <s v="Research &amp; Development"/>
    <n v="1"/>
    <n v="3"/>
    <s v="Medical"/>
    <n v="1"/>
    <n v="1952"/>
    <n v="3"/>
    <s v="Male"/>
    <n v="95"/>
    <n v="3"/>
    <x v="1"/>
    <s v="Laboratory Technician"/>
    <n v="1"/>
    <s v="Single"/>
    <x v="1282"/>
    <n v="20006"/>
    <n v="0"/>
    <s v="Y"/>
    <s v="No"/>
    <n v="13"/>
    <n v="3"/>
    <n v="4"/>
    <n v="80"/>
    <n v="0"/>
    <n v="8"/>
    <n v="6"/>
    <n v="2"/>
    <n v="7"/>
    <n v="7"/>
    <n v="7"/>
    <n v="6"/>
    <x v="2"/>
    <x v="1"/>
  </r>
  <r>
    <n v="29"/>
    <s v="No"/>
    <s v="Travel_Rarely"/>
    <n v="136"/>
    <s v="Research &amp; Development"/>
    <n v="1"/>
    <n v="3"/>
    <s v="Life Sciences"/>
    <n v="1"/>
    <n v="1954"/>
    <n v="1"/>
    <s v="Male"/>
    <n v="89"/>
    <n v="3"/>
    <x v="0"/>
    <s v="Healthcare Representative"/>
    <n v="1"/>
    <s v="Married"/>
    <x v="1283"/>
    <n v="6225"/>
    <n v="0"/>
    <s v="Y"/>
    <s v="No"/>
    <n v="12"/>
    <n v="3"/>
    <n v="1"/>
    <n v="80"/>
    <n v="1"/>
    <n v="6"/>
    <n v="5"/>
    <n v="2"/>
    <n v="5"/>
    <n v="3"/>
    <n v="0"/>
    <n v="2"/>
    <x v="2"/>
    <x v="0"/>
  </r>
  <r>
    <n v="32"/>
    <s v="No"/>
    <s v="Non-Travel"/>
    <n v="1146"/>
    <s v="Research &amp; Development"/>
    <n v="15"/>
    <n v="4"/>
    <s v="Medical"/>
    <n v="1"/>
    <n v="1955"/>
    <n v="3"/>
    <s v="Female"/>
    <n v="34"/>
    <n v="3"/>
    <x v="0"/>
    <s v="Healthcare Representative"/>
    <n v="4"/>
    <s v="Divorced"/>
    <x v="1284"/>
    <n v="16542"/>
    <n v="5"/>
    <s v="Y"/>
    <s v="No"/>
    <n v="18"/>
    <n v="3"/>
    <n v="2"/>
    <n v="80"/>
    <n v="1"/>
    <n v="9"/>
    <n v="6"/>
    <n v="3"/>
    <n v="5"/>
    <n v="1"/>
    <n v="1"/>
    <n v="2"/>
    <x v="2"/>
    <x v="0"/>
  </r>
  <r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x v="0"/>
    <s v="Research Scientist"/>
    <n v="1"/>
    <s v="Married"/>
    <x v="701"/>
    <n v="5771"/>
    <n v="1"/>
    <s v="Y"/>
    <s v="No"/>
    <n v="21"/>
    <n v="4"/>
    <n v="2"/>
    <n v="80"/>
    <n v="0"/>
    <n v="10"/>
    <n v="6"/>
    <n v="3"/>
    <n v="10"/>
    <n v="8"/>
    <n v="8"/>
    <n v="7"/>
    <x v="2"/>
    <x v="0"/>
  </r>
  <r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x v="1"/>
    <s v="Laboratory Technician"/>
    <n v="4"/>
    <s v="Divorced"/>
    <x v="1039"/>
    <n v="18779"/>
    <n v="5"/>
    <s v="Y"/>
    <s v="No"/>
    <n v="12"/>
    <n v="3"/>
    <n v="1"/>
    <n v="80"/>
    <n v="1"/>
    <n v="6"/>
    <n v="2"/>
    <n v="2"/>
    <n v="4"/>
    <n v="1"/>
    <n v="0"/>
    <n v="3"/>
    <x v="2"/>
    <x v="1"/>
  </r>
  <r>
    <n v="38"/>
    <s v="No"/>
    <s v="Travel_Rarely"/>
    <n v="1404"/>
    <s v="Sales"/>
    <n v="1"/>
    <n v="3"/>
    <s v="Life Sciences"/>
    <n v="1"/>
    <n v="1961"/>
    <n v="1"/>
    <s v="Male"/>
    <n v="59"/>
    <n v="2"/>
    <x v="1"/>
    <s v="Sales Representative"/>
    <n v="1"/>
    <s v="Single"/>
    <x v="1285"/>
    <n v="11473"/>
    <n v="4"/>
    <s v="Y"/>
    <s v="No"/>
    <n v="14"/>
    <n v="3"/>
    <n v="1"/>
    <n v="80"/>
    <n v="0"/>
    <n v="20"/>
    <n v="3"/>
    <n v="2"/>
    <n v="1"/>
    <n v="0"/>
    <n v="0"/>
    <n v="0"/>
    <x v="0"/>
    <x v="1"/>
  </r>
  <r>
    <n v="35"/>
    <s v="No"/>
    <s v="Travel_Rarely"/>
    <n v="1224"/>
    <s v="Sales"/>
    <n v="7"/>
    <n v="4"/>
    <s v="Life Sciences"/>
    <n v="1"/>
    <n v="1962"/>
    <n v="3"/>
    <s v="Female"/>
    <n v="55"/>
    <n v="3"/>
    <x v="0"/>
    <s v="Sales Executive"/>
    <n v="4"/>
    <s v="Married"/>
    <x v="626"/>
    <n v="13586"/>
    <n v="1"/>
    <s v="Y"/>
    <s v="Yes"/>
    <n v="11"/>
    <n v="3"/>
    <n v="4"/>
    <n v="80"/>
    <n v="0"/>
    <n v="10"/>
    <n v="2"/>
    <n v="3"/>
    <n v="10"/>
    <n v="8"/>
    <n v="0"/>
    <n v="9"/>
    <x v="2"/>
    <x v="0"/>
  </r>
  <r>
    <n v="27"/>
    <s v="No"/>
    <s v="Travel_Rarely"/>
    <n v="954"/>
    <s v="Sales"/>
    <n v="9"/>
    <n v="3"/>
    <s v="Marketing"/>
    <n v="1"/>
    <n v="1965"/>
    <n v="4"/>
    <s v="Male"/>
    <n v="44"/>
    <n v="3"/>
    <x v="0"/>
    <s v="Sales Executive"/>
    <n v="4"/>
    <s v="Single"/>
    <x v="1286"/>
    <n v="5099"/>
    <n v="1"/>
    <s v="Y"/>
    <s v="No"/>
    <n v="14"/>
    <n v="3"/>
    <n v="1"/>
    <n v="80"/>
    <n v="0"/>
    <n v="7"/>
    <n v="5"/>
    <n v="3"/>
    <n v="7"/>
    <n v="7"/>
    <n v="0"/>
    <n v="7"/>
    <x v="2"/>
    <x v="0"/>
  </r>
  <r>
    <n v="32"/>
    <s v="No"/>
    <s v="Travel_Rarely"/>
    <n v="1373"/>
    <s v="Research &amp; Development"/>
    <n v="5"/>
    <n v="4"/>
    <s v="Life Sciences"/>
    <n v="1"/>
    <n v="1966"/>
    <n v="4"/>
    <s v="Male"/>
    <n v="56"/>
    <n v="2"/>
    <x v="0"/>
    <s v="Manufacturing Director"/>
    <n v="4"/>
    <s v="Single"/>
    <x v="1287"/>
    <n v="10138"/>
    <n v="8"/>
    <s v="Y"/>
    <s v="No"/>
    <n v="24"/>
    <n v="4"/>
    <n v="2"/>
    <n v="80"/>
    <n v="0"/>
    <n v="8"/>
    <n v="1"/>
    <n v="3"/>
    <n v="1"/>
    <n v="0"/>
    <n v="0"/>
    <n v="0"/>
    <x v="2"/>
    <x v="2"/>
  </r>
  <r>
    <n v="31"/>
    <s v="Yes"/>
    <s v="Travel_Frequently"/>
    <n v="754"/>
    <s v="Sales"/>
    <n v="26"/>
    <n v="4"/>
    <s v="Marketing"/>
    <n v="1"/>
    <n v="1967"/>
    <n v="1"/>
    <s v="Male"/>
    <n v="63"/>
    <n v="3"/>
    <x v="0"/>
    <s v="Sales Executive"/>
    <n v="4"/>
    <s v="Married"/>
    <x v="1288"/>
    <n v="21075"/>
    <n v="1"/>
    <s v="Y"/>
    <s v="Yes"/>
    <n v="11"/>
    <n v="3"/>
    <n v="3"/>
    <n v="80"/>
    <n v="0"/>
    <n v="10"/>
    <n v="4"/>
    <n v="3"/>
    <n v="10"/>
    <n v="7"/>
    <n v="0"/>
    <n v="8"/>
    <x v="2"/>
    <x v="0"/>
  </r>
  <r>
    <n v="53"/>
    <s v="Yes"/>
    <s v="Travel_Rarely"/>
    <n v="1168"/>
    <s v="Sales"/>
    <n v="24"/>
    <n v="4"/>
    <s v="Life Sciences"/>
    <n v="1"/>
    <n v="1968"/>
    <n v="1"/>
    <s v="Male"/>
    <n v="66"/>
    <n v="3"/>
    <x v="2"/>
    <s v="Sales Executive"/>
    <n v="1"/>
    <s v="Single"/>
    <x v="1289"/>
    <n v="5843"/>
    <n v="6"/>
    <s v="Y"/>
    <s v="Yes"/>
    <n v="13"/>
    <n v="3"/>
    <n v="2"/>
    <n v="80"/>
    <n v="0"/>
    <n v="15"/>
    <n v="2"/>
    <n v="2"/>
    <n v="2"/>
    <n v="2"/>
    <n v="2"/>
    <n v="2"/>
    <x v="1"/>
    <x v="2"/>
  </r>
  <r>
    <n v="54"/>
    <s v="No"/>
    <s v="Travel_Rarely"/>
    <n v="155"/>
    <s v="Research &amp; Development"/>
    <n v="9"/>
    <n v="2"/>
    <s v="Life Sciences"/>
    <n v="1"/>
    <n v="1969"/>
    <n v="1"/>
    <s v="Female"/>
    <n v="67"/>
    <n v="3"/>
    <x v="0"/>
    <s v="Research Scientist"/>
    <n v="3"/>
    <s v="Married"/>
    <x v="1290"/>
    <n v="22474"/>
    <n v="3"/>
    <s v="Y"/>
    <s v="No"/>
    <n v="11"/>
    <n v="3"/>
    <n v="3"/>
    <n v="80"/>
    <n v="2"/>
    <n v="9"/>
    <n v="6"/>
    <n v="2"/>
    <n v="4"/>
    <n v="3"/>
    <n v="2"/>
    <n v="3"/>
    <x v="1"/>
    <x v="1"/>
  </r>
  <r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x v="0"/>
    <s v="Healthcare Representative"/>
    <n v="3"/>
    <s v="Divorced"/>
    <x v="1291"/>
    <n v="18079"/>
    <n v="1"/>
    <s v="Y"/>
    <s v="No"/>
    <n v="20"/>
    <n v="4"/>
    <n v="3"/>
    <n v="80"/>
    <n v="3"/>
    <n v="9"/>
    <n v="2"/>
    <n v="3"/>
    <n v="9"/>
    <n v="7"/>
    <n v="2"/>
    <n v="8"/>
    <x v="2"/>
    <x v="0"/>
  </r>
  <r>
    <n v="43"/>
    <s v="No"/>
    <s v="Travel_Rarely"/>
    <n v="574"/>
    <s v="Research &amp; Development"/>
    <n v="11"/>
    <n v="3"/>
    <s v="Life Sciences"/>
    <n v="1"/>
    <n v="1971"/>
    <n v="1"/>
    <s v="Male"/>
    <n v="30"/>
    <n v="3"/>
    <x v="2"/>
    <s v="Healthcare Representative"/>
    <n v="3"/>
    <s v="Married"/>
    <x v="1292"/>
    <n v="16873"/>
    <n v="1"/>
    <s v="Y"/>
    <s v="No"/>
    <n v="17"/>
    <n v="3"/>
    <n v="2"/>
    <n v="80"/>
    <n v="1"/>
    <n v="10"/>
    <n v="1"/>
    <n v="3"/>
    <n v="10"/>
    <n v="9"/>
    <n v="0"/>
    <n v="9"/>
    <x v="0"/>
    <x v="2"/>
  </r>
  <r>
    <n v="38"/>
    <s v="No"/>
    <s v="Travel_Frequently"/>
    <n v="1444"/>
    <s v="Human Resources"/>
    <n v="1"/>
    <n v="4"/>
    <s v="Other"/>
    <n v="1"/>
    <n v="1972"/>
    <n v="4"/>
    <s v="Male"/>
    <n v="88"/>
    <n v="3"/>
    <x v="1"/>
    <s v="Human Resources"/>
    <n v="2"/>
    <s v="Married"/>
    <x v="1293"/>
    <n v="5224"/>
    <n v="0"/>
    <s v="Y"/>
    <s v="Yes"/>
    <n v="11"/>
    <n v="3"/>
    <n v="2"/>
    <n v="80"/>
    <n v="1"/>
    <n v="7"/>
    <n v="2"/>
    <n v="3"/>
    <n v="6"/>
    <n v="2"/>
    <n v="1"/>
    <n v="2"/>
    <x v="0"/>
    <x v="1"/>
  </r>
  <r>
    <n v="55"/>
    <s v="No"/>
    <s v="Travel_Rarely"/>
    <n v="189"/>
    <s v="Human Resources"/>
    <n v="26"/>
    <n v="4"/>
    <s v="Human Resources"/>
    <n v="1"/>
    <n v="1973"/>
    <n v="3"/>
    <s v="Male"/>
    <n v="71"/>
    <n v="4"/>
    <x v="4"/>
    <s v="Manager"/>
    <n v="2"/>
    <s v="Married"/>
    <x v="1294"/>
    <n v="25811"/>
    <n v="4"/>
    <s v="Y"/>
    <s v="Yes"/>
    <n v="18"/>
    <n v="3"/>
    <n v="1"/>
    <n v="80"/>
    <n v="1"/>
    <n v="35"/>
    <n v="0"/>
    <n v="3"/>
    <n v="10"/>
    <n v="9"/>
    <n v="1"/>
    <n v="4"/>
    <x v="1"/>
    <x v="3"/>
  </r>
  <r>
    <n v="31"/>
    <s v="No"/>
    <s v="Travel_Rarely"/>
    <n v="1276"/>
    <s v="Research &amp; Development"/>
    <n v="2"/>
    <n v="1"/>
    <s v="Medical"/>
    <n v="1"/>
    <n v="1974"/>
    <n v="4"/>
    <s v="Female"/>
    <n v="59"/>
    <n v="1"/>
    <x v="1"/>
    <s v="Laboratory Technician"/>
    <n v="4"/>
    <s v="Divorced"/>
    <x v="1295"/>
    <n v="17536"/>
    <n v="1"/>
    <s v="Y"/>
    <s v="Yes"/>
    <n v="11"/>
    <n v="3"/>
    <n v="3"/>
    <n v="80"/>
    <n v="3"/>
    <n v="1"/>
    <n v="4"/>
    <n v="3"/>
    <n v="1"/>
    <n v="0"/>
    <n v="0"/>
    <n v="0"/>
    <x v="2"/>
    <x v="1"/>
  </r>
  <r>
    <n v="39"/>
    <s v="No"/>
    <s v="Travel_Rarely"/>
    <n v="119"/>
    <s v="Sales"/>
    <n v="15"/>
    <n v="4"/>
    <s v="Marketing"/>
    <n v="1"/>
    <n v="1975"/>
    <n v="2"/>
    <s v="Male"/>
    <n v="77"/>
    <n v="3"/>
    <x v="3"/>
    <s v="Sales Executive"/>
    <n v="1"/>
    <s v="Single"/>
    <x v="1296"/>
    <n v="25098"/>
    <n v="0"/>
    <s v="Y"/>
    <s v="No"/>
    <n v="12"/>
    <n v="3"/>
    <n v="1"/>
    <n v="80"/>
    <n v="0"/>
    <n v="21"/>
    <n v="3"/>
    <n v="3"/>
    <n v="20"/>
    <n v="8"/>
    <n v="11"/>
    <n v="10"/>
    <x v="0"/>
    <x v="3"/>
  </r>
  <r>
    <n v="42"/>
    <s v="No"/>
    <s v="Non-Travel"/>
    <n v="335"/>
    <s v="Research &amp; Development"/>
    <n v="23"/>
    <n v="2"/>
    <s v="Life Sciences"/>
    <n v="1"/>
    <n v="1976"/>
    <n v="4"/>
    <s v="Male"/>
    <n v="37"/>
    <n v="2"/>
    <x v="0"/>
    <s v="Research Scientist"/>
    <n v="3"/>
    <s v="Single"/>
    <x v="1297"/>
    <n v="14811"/>
    <n v="1"/>
    <s v="Y"/>
    <s v="No"/>
    <n v="12"/>
    <n v="3"/>
    <n v="4"/>
    <n v="80"/>
    <n v="0"/>
    <n v="20"/>
    <n v="2"/>
    <n v="3"/>
    <n v="20"/>
    <n v="9"/>
    <n v="3"/>
    <n v="7"/>
    <x v="0"/>
    <x v="0"/>
  </r>
  <r>
    <n v="31"/>
    <s v="No"/>
    <s v="Non-Travel"/>
    <n v="697"/>
    <s v="Research &amp; Development"/>
    <n v="10"/>
    <n v="3"/>
    <s v="Medical"/>
    <n v="1"/>
    <n v="1979"/>
    <n v="3"/>
    <s v="Female"/>
    <n v="40"/>
    <n v="3"/>
    <x v="2"/>
    <s v="Research Director"/>
    <n v="3"/>
    <s v="Married"/>
    <x v="1298"/>
    <n v="26862"/>
    <n v="4"/>
    <s v="Y"/>
    <s v="No"/>
    <n v="20"/>
    <n v="4"/>
    <n v="3"/>
    <n v="80"/>
    <n v="1"/>
    <n v="13"/>
    <n v="2"/>
    <n v="4"/>
    <n v="11"/>
    <n v="7"/>
    <n v="4"/>
    <n v="8"/>
    <x v="2"/>
    <x v="2"/>
  </r>
  <r>
    <n v="54"/>
    <s v="No"/>
    <s v="Travel_Rarely"/>
    <n v="157"/>
    <s v="Research &amp; Development"/>
    <n v="10"/>
    <n v="3"/>
    <s v="Medical"/>
    <n v="1"/>
    <n v="1980"/>
    <n v="3"/>
    <s v="Female"/>
    <n v="77"/>
    <n v="3"/>
    <x v="0"/>
    <s v="Manufacturing Director"/>
    <n v="1"/>
    <s v="Single"/>
    <x v="1299"/>
    <n v="25198"/>
    <n v="6"/>
    <s v="Y"/>
    <s v="Yes"/>
    <n v="19"/>
    <n v="3"/>
    <n v="4"/>
    <n v="80"/>
    <n v="0"/>
    <n v="9"/>
    <n v="3"/>
    <n v="3"/>
    <n v="5"/>
    <n v="2"/>
    <n v="1"/>
    <n v="4"/>
    <x v="1"/>
    <x v="0"/>
  </r>
  <r>
    <n v="24"/>
    <s v="No"/>
    <s v="Travel_Rarely"/>
    <n v="771"/>
    <s v="Research &amp; Development"/>
    <n v="1"/>
    <n v="2"/>
    <s v="Life Sciences"/>
    <n v="1"/>
    <n v="1981"/>
    <n v="2"/>
    <s v="Male"/>
    <n v="45"/>
    <n v="2"/>
    <x v="0"/>
    <s v="Healthcare Representative"/>
    <n v="3"/>
    <s v="Single"/>
    <x v="1300"/>
    <n v="14120"/>
    <n v="1"/>
    <s v="Y"/>
    <s v="No"/>
    <n v="12"/>
    <n v="3"/>
    <n v="2"/>
    <n v="80"/>
    <n v="0"/>
    <n v="4"/>
    <n v="2"/>
    <n v="2"/>
    <n v="4"/>
    <n v="3"/>
    <n v="1"/>
    <n v="2"/>
    <x v="4"/>
    <x v="0"/>
  </r>
  <r>
    <n v="23"/>
    <s v="No"/>
    <s v="Travel_Rarely"/>
    <n v="571"/>
    <s v="Research &amp; Development"/>
    <n v="12"/>
    <n v="2"/>
    <s v="Other"/>
    <n v="1"/>
    <n v="1982"/>
    <n v="4"/>
    <s v="Male"/>
    <n v="78"/>
    <n v="3"/>
    <x v="1"/>
    <s v="Laboratory Technician"/>
    <n v="4"/>
    <s v="Single"/>
    <x v="1301"/>
    <n v="13672"/>
    <n v="1"/>
    <s v="Y"/>
    <s v="No"/>
    <n v="13"/>
    <n v="3"/>
    <n v="3"/>
    <n v="80"/>
    <n v="0"/>
    <n v="5"/>
    <n v="6"/>
    <n v="4"/>
    <n v="5"/>
    <n v="2"/>
    <n v="1"/>
    <n v="4"/>
    <x v="4"/>
    <x v="1"/>
  </r>
  <r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x v="0"/>
    <s v="Laboratory Technician"/>
    <n v="3"/>
    <s v="Married"/>
    <x v="1302"/>
    <n v="26849"/>
    <n v="1"/>
    <s v="Y"/>
    <s v="No"/>
    <n v="11"/>
    <n v="3"/>
    <n v="1"/>
    <n v="80"/>
    <n v="1"/>
    <n v="10"/>
    <n v="2"/>
    <n v="4"/>
    <n v="10"/>
    <n v="9"/>
    <n v="9"/>
    <n v="4"/>
    <x v="0"/>
    <x v="0"/>
  </r>
  <r>
    <n v="40"/>
    <s v="No"/>
    <s v="Travel_Rarely"/>
    <n v="444"/>
    <s v="Sales"/>
    <n v="2"/>
    <n v="2"/>
    <s v="Marketing"/>
    <n v="1"/>
    <n v="1986"/>
    <n v="2"/>
    <s v="Female"/>
    <n v="92"/>
    <n v="3"/>
    <x v="0"/>
    <s v="Sales Executive"/>
    <n v="2"/>
    <s v="Married"/>
    <x v="1303"/>
    <n v="4258"/>
    <n v="3"/>
    <s v="Y"/>
    <s v="No"/>
    <n v="14"/>
    <n v="3"/>
    <n v="3"/>
    <n v="80"/>
    <n v="1"/>
    <n v="15"/>
    <n v="4"/>
    <n v="3"/>
    <n v="11"/>
    <n v="8"/>
    <n v="5"/>
    <n v="10"/>
    <x v="0"/>
    <x v="0"/>
  </r>
  <r>
    <n v="25"/>
    <s v="No"/>
    <s v="Travel_Rarely"/>
    <n v="309"/>
    <s v="Human Resources"/>
    <n v="2"/>
    <n v="3"/>
    <s v="Human Resources"/>
    <n v="1"/>
    <n v="1987"/>
    <n v="3"/>
    <s v="Female"/>
    <n v="82"/>
    <n v="3"/>
    <x v="1"/>
    <s v="Human Resources"/>
    <n v="2"/>
    <s v="Married"/>
    <x v="467"/>
    <n v="19655"/>
    <n v="4"/>
    <s v="Y"/>
    <s v="No"/>
    <n v="14"/>
    <n v="3"/>
    <n v="3"/>
    <n v="80"/>
    <n v="0"/>
    <n v="6"/>
    <n v="3"/>
    <n v="3"/>
    <n v="2"/>
    <n v="0"/>
    <n v="1"/>
    <n v="2"/>
    <x v="4"/>
    <x v="1"/>
  </r>
  <r>
    <n v="30"/>
    <s v="No"/>
    <s v="Travel_Rarely"/>
    <n v="911"/>
    <s v="Research &amp; Development"/>
    <n v="1"/>
    <n v="2"/>
    <s v="Medical"/>
    <n v="1"/>
    <n v="1989"/>
    <n v="4"/>
    <s v="Male"/>
    <n v="76"/>
    <n v="3"/>
    <x v="1"/>
    <s v="Laboratory Technician"/>
    <n v="2"/>
    <s v="Married"/>
    <x v="1304"/>
    <n v="4077"/>
    <n v="1"/>
    <s v="Y"/>
    <s v="No"/>
    <n v="13"/>
    <n v="3"/>
    <n v="3"/>
    <n v="80"/>
    <n v="0"/>
    <n v="12"/>
    <n v="6"/>
    <n v="2"/>
    <n v="12"/>
    <n v="8"/>
    <n v="1"/>
    <n v="7"/>
    <x v="2"/>
    <x v="0"/>
  </r>
  <r>
    <n v="25"/>
    <s v="No"/>
    <s v="Travel_Rarely"/>
    <n v="977"/>
    <s v="Research &amp; Development"/>
    <n v="2"/>
    <n v="1"/>
    <s v="Other"/>
    <n v="1"/>
    <n v="1992"/>
    <n v="4"/>
    <s v="Male"/>
    <n v="57"/>
    <n v="3"/>
    <x v="1"/>
    <s v="Laboratory Technician"/>
    <n v="3"/>
    <s v="Divorced"/>
    <x v="1305"/>
    <n v="7298"/>
    <n v="6"/>
    <s v="Y"/>
    <s v="Yes"/>
    <n v="19"/>
    <n v="3"/>
    <n v="3"/>
    <n v="80"/>
    <n v="1"/>
    <n v="7"/>
    <n v="2"/>
    <n v="2"/>
    <n v="2"/>
    <n v="2"/>
    <n v="0"/>
    <n v="2"/>
    <x v="4"/>
    <x v="0"/>
  </r>
  <r>
    <n v="47"/>
    <s v="No"/>
    <s v="Travel_Rarely"/>
    <n v="1180"/>
    <s v="Research &amp; Development"/>
    <n v="25"/>
    <n v="3"/>
    <s v="Medical"/>
    <n v="1"/>
    <n v="1993"/>
    <n v="1"/>
    <s v="Male"/>
    <n v="84"/>
    <n v="3"/>
    <x v="2"/>
    <s v="Healthcare Representative"/>
    <n v="3"/>
    <s v="Single"/>
    <x v="1306"/>
    <n v="13084"/>
    <n v="2"/>
    <s v="Y"/>
    <s v="No"/>
    <n v="23"/>
    <n v="4"/>
    <n v="2"/>
    <n v="80"/>
    <n v="0"/>
    <n v="25"/>
    <n v="3"/>
    <n v="3"/>
    <n v="17"/>
    <n v="14"/>
    <n v="12"/>
    <n v="11"/>
    <x v="1"/>
    <x v="2"/>
  </r>
  <r>
    <n v="33"/>
    <s v="No"/>
    <s v="Non-Travel"/>
    <n v="1313"/>
    <s v="Research &amp; Development"/>
    <n v="1"/>
    <n v="2"/>
    <s v="Medical"/>
    <n v="1"/>
    <n v="1994"/>
    <n v="2"/>
    <s v="Male"/>
    <n v="59"/>
    <n v="2"/>
    <x v="1"/>
    <s v="Laboratory Technician"/>
    <n v="3"/>
    <s v="Divorced"/>
    <x v="641"/>
    <n v="20439"/>
    <n v="1"/>
    <s v="Y"/>
    <s v="No"/>
    <n v="12"/>
    <n v="3"/>
    <n v="3"/>
    <n v="80"/>
    <n v="3"/>
    <n v="1"/>
    <n v="2"/>
    <n v="2"/>
    <n v="1"/>
    <n v="1"/>
    <n v="0"/>
    <n v="0"/>
    <x v="2"/>
    <x v="1"/>
  </r>
  <r>
    <n v="38"/>
    <s v="No"/>
    <s v="Travel_Rarely"/>
    <n v="1321"/>
    <s v="Sales"/>
    <n v="1"/>
    <n v="4"/>
    <s v="Life Sciences"/>
    <n v="1"/>
    <n v="1995"/>
    <n v="4"/>
    <s v="Male"/>
    <n v="86"/>
    <n v="3"/>
    <x v="0"/>
    <s v="Sales Executive"/>
    <n v="2"/>
    <s v="Married"/>
    <x v="1299"/>
    <n v="7636"/>
    <n v="0"/>
    <s v="Y"/>
    <s v="No"/>
    <n v="15"/>
    <n v="3"/>
    <n v="1"/>
    <n v="80"/>
    <n v="2"/>
    <n v="16"/>
    <n v="3"/>
    <n v="3"/>
    <n v="15"/>
    <n v="13"/>
    <n v="5"/>
    <n v="8"/>
    <x v="0"/>
    <x v="0"/>
  </r>
  <r>
    <n v="31"/>
    <s v="No"/>
    <s v="Travel_Rarely"/>
    <n v="1154"/>
    <s v="Sales"/>
    <n v="2"/>
    <n v="2"/>
    <s v="Life Sciences"/>
    <n v="1"/>
    <n v="1996"/>
    <n v="1"/>
    <s v="Male"/>
    <n v="54"/>
    <n v="3"/>
    <x v="1"/>
    <s v="Sales Representative"/>
    <n v="3"/>
    <s v="Married"/>
    <x v="1307"/>
    <n v="6393"/>
    <n v="0"/>
    <s v="Y"/>
    <s v="No"/>
    <n v="19"/>
    <n v="3"/>
    <n v="3"/>
    <n v="80"/>
    <n v="1"/>
    <n v="3"/>
    <n v="1"/>
    <n v="3"/>
    <n v="2"/>
    <n v="2"/>
    <n v="1"/>
    <n v="2"/>
    <x v="2"/>
    <x v="0"/>
  </r>
  <r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x v="0"/>
    <s v="Manufacturing Director"/>
    <n v="3"/>
    <s v="Married"/>
    <x v="1308"/>
    <n v="14284"/>
    <n v="2"/>
    <s v="Y"/>
    <s v="No"/>
    <n v="11"/>
    <n v="3"/>
    <n v="4"/>
    <n v="80"/>
    <n v="1"/>
    <n v="10"/>
    <n v="1"/>
    <n v="3"/>
    <n v="8"/>
    <n v="3"/>
    <n v="7"/>
    <n v="7"/>
    <x v="0"/>
    <x v="0"/>
  </r>
  <r>
    <n v="42"/>
    <s v="No"/>
    <s v="Travel_Rarely"/>
    <n v="557"/>
    <s v="Research &amp; Development"/>
    <n v="18"/>
    <n v="4"/>
    <s v="Life Sciences"/>
    <n v="1"/>
    <n v="1998"/>
    <n v="4"/>
    <s v="Male"/>
    <n v="35"/>
    <n v="3"/>
    <x v="0"/>
    <s v="Research Scientist"/>
    <n v="1"/>
    <s v="Divorced"/>
    <x v="874"/>
    <n v="11189"/>
    <n v="6"/>
    <s v="Y"/>
    <s v="Yes"/>
    <n v="17"/>
    <n v="3"/>
    <n v="3"/>
    <n v="80"/>
    <n v="1"/>
    <n v="9"/>
    <n v="3"/>
    <n v="2"/>
    <n v="4"/>
    <n v="3"/>
    <n v="1"/>
    <n v="2"/>
    <x v="0"/>
    <x v="0"/>
  </r>
  <r>
    <n v="41"/>
    <s v="No"/>
    <s v="Travel_Rarely"/>
    <n v="642"/>
    <s v="Research &amp; Development"/>
    <n v="1"/>
    <n v="3"/>
    <s v="Life Sciences"/>
    <n v="1"/>
    <n v="1999"/>
    <n v="4"/>
    <s v="Male"/>
    <n v="76"/>
    <n v="3"/>
    <x v="1"/>
    <s v="Research Scientist"/>
    <n v="4"/>
    <s v="Married"/>
    <x v="553"/>
    <n v="21412"/>
    <n v="3"/>
    <s v="Y"/>
    <s v="No"/>
    <n v="22"/>
    <n v="4"/>
    <n v="1"/>
    <n v="80"/>
    <n v="1"/>
    <n v="12"/>
    <n v="3"/>
    <n v="3"/>
    <n v="5"/>
    <n v="3"/>
    <n v="1"/>
    <n v="0"/>
    <x v="0"/>
    <x v="1"/>
  </r>
  <r>
    <n v="47"/>
    <s v="No"/>
    <s v="Non-Travel"/>
    <n v="1162"/>
    <s v="Research &amp; Development"/>
    <n v="1"/>
    <n v="1"/>
    <s v="Medical"/>
    <n v="1"/>
    <n v="2000"/>
    <n v="3"/>
    <s v="Female"/>
    <n v="98"/>
    <n v="3"/>
    <x v="2"/>
    <s v="Research Director"/>
    <n v="2"/>
    <s v="Married"/>
    <x v="1309"/>
    <n v="17231"/>
    <n v="0"/>
    <s v="Y"/>
    <s v="No"/>
    <n v="18"/>
    <n v="3"/>
    <n v="1"/>
    <n v="80"/>
    <n v="2"/>
    <n v="14"/>
    <n v="3"/>
    <n v="1"/>
    <n v="13"/>
    <n v="8"/>
    <n v="5"/>
    <n v="12"/>
    <x v="1"/>
    <x v="2"/>
  </r>
  <r>
    <n v="35"/>
    <s v="No"/>
    <s v="Travel_Rarely"/>
    <n v="1490"/>
    <s v="Research &amp; Development"/>
    <n v="11"/>
    <n v="4"/>
    <s v="Medical"/>
    <n v="1"/>
    <n v="2003"/>
    <n v="4"/>
    <s v="Male"/>
    <n v="43"/>
    <n v="3"/>
    <x v="1"/>
    <s v="Laboratory Technician"/>
    <n v="3"/>
    <s v="Married"/>
    <x v="1310"/>
    <n v="20232"/>
    <n v="7"/>
    <s v="Y"/>
    <s v="Yes"/>
    <n v="11"/>
    <n v="3"/>
    <n v="3"/>
    <n v="80"/>
    <n v="1"/>
    <n v="5"/>
    <n v="3"/>
    <n v="3"/>
    <n v="2"/>
    <n v="2"/>
    <n v="2"/>
    <n v="2"/>
    <x v="2"/>
    <x v="1"/>
  </r>
  <r>
    <n v="22"/>
    <s v="No"/>
    <s v="Travel_Rarely"/>
    <n v="581"/>
    <s v="Research &amp; Development"/>
    <n v="1"/>
    <n v="2"/>
    <s v="Life Sciences"/>
    <n v="1"/>
    <n v="2007"/>
    <n v="4"/>
    <s v="Male"/>
    <n v="63"/>
    <n v="3"/>
    <x v="1"/>
    <s v="Research Scientist"/>
    <n v="3"/>
    <s v="Single"/>
    <x v="1311"/>
    <n v="17624"/>
    <n v="0"/>
    <s v="Y"/>
    <s v="No"/>
    <n v="12"/>
    <n v="3"/>
    <n v="4"/>
    <n v="80"/>
    <n v="0"/>
    <n v="4"/>
    <n v="2"/>
    <n v="4"/>
    <n v="3"/>
    <n v="2"/>
    <n v="1"/>
    <n v="2"/>
    <x v="4"/>
    <x v="0"/>
  </r>
  <r>
    <n v="35"/>
    <s v="No"/>
    <s v="Travel_Rarely"/>
    <n v="1395"/>
    <s v="Research &amp; Development"/>
    <n v="9"/>
    <n v="4"/>
    <s v="Medical"/>
    <n v="1"/>
    <n v="2008"/>
    <n v="2"/>
    <s v="Male"/>
    <n v="48"/>
    <n v="3"/>
    <x v="0"/>
    <s v="Research Scientist"/>
    <n v="3"/>
    <s v="Single"/>
    <x v="1312"/>
    <n v="18698"/>
    <n v="1"/>
    <s v="Y"/>
    <s v="No"/>
    <n v="19"/>
    <n v="3"/>
    <n v="2"/>
    <n v="80"/>
    <n v="0"/>
    <n v="10"/>
    <n v="5"/>
    <n v="3"/>
    <n v="10"/>
    <n v="7"/>
    <n v="0"/>
    <n v="8"/>
    <x v="2"/>
    <x v="0"/>
  </r>
  <r>
    <n v="33"/>
    <s v="No"/>
    <s v="Travel_Rarely"/>
    <n v="501"/>
    <s v="Research &amp; Development"/>
    <n v="15"/>
    <n v="2"/>
    <s v="Medical"/>
    <n v="1"/>
    <n v="2009"/>
    <n v="2"/>
    <s v="Female"/>
    <n v="95"/>
    <n v="3"/>
    <x v="0"/>
    <s v="Healthcare Representative"/>
    <n v="4"/>
    <s v="Married"/>
    <x v="1313"/>
    <n v="21653"/>
    <n v="0"/>
    <s v="Y"/>
    <s v="Yes"/>
    <n v="13"/>
    <n v="3"/>
    <n v="1"/>
    <n v="80"/>
    <n v="1"/>
    <n v="10"/>
    <n v="6"/>
    <n v="3"/>
    <n v="9"/>
    <n v="7"/>
    <n v="8"/>
    <n v="1"/>
    <x v="2"/>
    <x v="0"/>
  </r>
  <r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x v="1"/>
    <s v="Laboratory Technician"/>
    <n v="2"/>
    <s v="Single"/>
    <x v="1314"/>
    <n v="15919"/>
    <n v="1"/>
    <s v="Y"/>
    <s v="No"/>
    <n v="13"/>
    <n v="3"/>
    <n v="3"/>
    <n v="80"/>
    <n v="0"/>
    <n v="6"/>
    <n v="3"/>
    <n v="3"/>
    <n v="6"/>
    <n v="2"/>
    <n v="4"/>
    <n v="1"/>
    <x v="2"/>
    <x v="1"/>
  </r>
  <r>
    <n v="40"/>
    <s v="No"/>
    <s v="Travel_Rarely"/>
    <n v="543"/>
    <s v="Research &amp; Development"/>
    <n v="1"/>
    <n v="4"/>
    <s v="Life Sciences"/>
    <n v="1"/>
    <n v="2012"/>
    <n v="1"/>
    <s v="Male"/>
    <n v="83"/>
    <n v="3"/>
    <x v="1"/>
    <s v="Laboratory Technician"/>
    <n v="4"/>
    <s v="Married"/>
    <x v="58"/>
    <n v="4060"/>
    <n v="8"/>
    <s v="Y"/>
    <s v="No"/>
    <n v="19"/>
    <n v="3"/>
    <n v="3"/>
    <n v="80"/>
    <n v="2"/>
    <n v="8"/>
    <n v="3"/>
    <n v="2"/>
    <n v="1"/>
    <n v="0"/>
    <n v="0"/>
    <n v="0"/>
    <x v="0"/>
    <x v="1"/>
  </r>
  <r>
    <n v="32"/>
    <s v="No"/>
    <s v="Travel_Rarely"/>
    <n v="234"/>
    <s v="Sales"/>
    <n v="1"/>
    <n v="4"/>
    <s v="Medical"/>
    <n v="1"/>
    <n v="2013"/>
    <n v="2"/>
    <s v="Male"/>
    <n v="68"/>
    <n v="2"/>
    <x v="1"/>
    <s v="Sales Representative"/>
    <n v="2"/>
    <s v="Married"/>
    <x v="47"/>
    <n v="18024"/>
    <n v="0"/>
    <s v="Y"/>
    <s v="No"/>
    <n v="14"/>
    <n v="3"/>
    <n v="2"/>
    <n v="80"/>
    <n v="1"/>
    <n v="3"/>
    <n v="2"/>
    <n v="3"/>
    <n v="2"/>
    <n v="2"/>
    <n v="2"/>
    <n v="2"/>
    <x v="2"/>
    <x v="1"/>
  </r>
  <r>
    <n v="39"/>
    <s v="No"/>
    <s v="Travel_Rarely"/>
    <n v="116"/>
    <s v="Research &amp; Development"/>
    <n v="24"/>
    <n v="1"/>
    <s v="Life Sciences"/>
    <n v="1"/>
    <n v="2014"/>
    <n v="1"/>
    <s v="Male"/>
    <n v="52"/>
    <n v="3"/>
    <x v="0"/>
    <s v="Research Scientist"/>
    <n v="4"/>
    <s v="Single"/>
    <x v="1315"/>
    <n v="5340"/>
    <n v="7"/>
    <s v="Y"/>
    <s v="No"/>
    <n v="13"/>
    <n v="3"/>
    <n v="1"/>
    <n v="80"/>
    <n v="0"/>
    <n v="18"/>
    <n v="2"/>
    <n v="3"/>
    <n v="7"/>
    <n v="7"/>
    <n v="1"/>
    <n v="7"/>
    <x v="0"/>
    <x v="0"/>
  </r>
  <r>
    <n v="38"/>
    <s v="No"/>
    <s v="Travel_Rarely"/>
    <n v="201"/>
    <s v="Research &amp; Development"/>
    <n v="10"/>
    <n v="3"/>
    <s v="Medical"/>
    <n v="1"/>
    <n v="2015"/>
    <n v="2"/>
    <s v="Female"/>
    <n v="99"/>
    <n v="1"/>
    <x v="2"/>
    <s v="Research Director"/>
    <n v="3"/>
    <s v="Married"/>
    <x v="1316"/>
    <n v="3376"/>
    <n v="3"/>
    <s v="Y"/>
    <s v="No"/>
    <n v="12"/>
    <n v="3"/>
    <n v="1"/>
    <n v="80"/>
    <n v="1"/>
    <n v="20"/>
    <n v="3"/>
    <n v="3"/>
    <n v="18"/>
    <n v="16"/>
    <n v="1"/>
    <n v="11"/>
    <x v="0"/>
    <x v="3"/>
  </r>
  <r>
    <n v="32"/>
    <s v="No"/>
    <s v="Travel_Rarely"/>
    <n v="801"/>
    <s v="Sales"/>
    <n v="1"/>
    <n v="4"/>
    <s v="Marketing"/>
    <n v="1"/>
    <n v="2016"/>
    <n v="3"/>
    <s v="Female"/>
    <n v="48"/>
    <n v="3"/>
    <x v="2"/>
    <s v="Sales Executive"/>
    <n v="4"/>
    <s v="Married"/>
    <x v="1317"/>
    <n v="24032"/>
    <n v="1"/>
    <s v="Y"/>
    <s v="No"/>
    <n v="19"/>
    <n v="3"/>
    <n v="3"/>
    <n v="80"/>
    <n v="2"/>
    <n v="14"/>
    <n v="3"/>
    <n v="3"/>
    <n v="14"/>
    <n v="10"/>
    <n v="5"/>
    <n v="7"/>
    <x v="2"/>
    <x v="2"/>
  </r>
  <r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x v="2"/>
    <s v="Research Director"/>
    <n v="4"/>
    <s v="Married"/>
    <x v="1318"/>
    <n v="15471"/>
    <n v="1"/>
    <s v="Y"/>
    <s v="Yes"/>
    <n v="25"/>
    <n v="4"/>
    <n v="1"/>
    <n v="80"/>
    <n v="1"/>
    <n v="16"/>
    <n v="2"/>
    <n v="3"/>
    <n v="16"/>
    <n v="11"/>
    <n v="6"/>
    <n v="8"/>
    <x v="0"/>
    <x v="3"/>
  </r>
  <r>
    <n v="25"/>
    <s v="No"/>
    <s v="Travel_Rarely"/>
    <n v="1382"/>
    <s v="Sales"/>
    <n v="8"/>
    <n v="2"/>
    <s v="Other"/>
    <n v="1"/>
    <n v="2018"/>
    <n v="1"/>
    <s v="Female"/>
    <n v="85"/>
    <n v="3"/>
    <x v="0"/>
    <s v="Sales Executive"/>
    <n v="3"/>
    <s v="Divorced"/>
    <x v="274"/>
    <n v="13684"/>
    <n v="0"/>
    <s v="Y"/>
    <s v="Yes"/>
    <n v="22"/>
    <n v="4"/>
    <n v="2"/>
    <n v="80"/>
    <n v="1"/>
    <n v="6"/>
    <n v="3"/>
    <n v="2"/>
    <n v="5"/>
    <n v="3"/>
    <n v="0"/>
    <n v="4"/>
    <x v="4"/>
    <x v="0"/>
  </r>
  <r>
    <n v="52"/>
    <s v="No"/>
    <s v="Non-Travel"/>
    <n v="585"/>
    <s v="Sales"/>
    <n v="29"/>
    <n v="4"/>
    <s v="Life Sciences"/>
    <n v="1"/>
    <n v="2019"/>
    <n v="1"/>
    <s v="Male"/>
    <n v="40"/>
    <n v="3"/>
    <x v="1"/>
    <s v="Sales Representative"/>
    <n v="4"/>
    <s v="Divorced"/>
    <x v="1319"/>
    <n v="19788"/>
    <n v="2"/>
    <s v="Y"/>
    <s v="No"/>
    <n v="15"/>
    <n v="3"/>
    <n v="2"/>
    <n v="80"/>
    <n v="2"/>
    <n v="16"/>
    <n v="3"/>
    <n v="2"/>
    <n v="9"/>
    <n v="8"/>
    <n v="0"/>
    <n v="0"/>
    <x v="1"/>
    <x v="0"/>
  </r>
  <r>
    <n v="44"/>
    <s v="No"/>
    <s v="Travel_Rarely"/>
    <n v="1037"/>
    <s v="Research &amp; Development"/>
    <n v="1"/>
    <n v="3"/>
    <s v="Medical"/>
    <n v="1"/>
    <n v="2020"/>
    <n v="2"/>
    <s v="Male"/>
    <n v="42"/>
    <n v="3"/>
    <x v="1"/>
    <s v="Research Scientist"/>
    <n v="4"/>
    <s v="Single"/>
    <x v="230"/>
    <n v="13422"/>
    <n v="6"/>
    <s v="Y"/>
    <s v="Yes"/>
    <n v="12"/>
    <n v="3"/>
    <n v="3"/>
    <n v="80"/>
    <n v="0"/>
    <n v="6"/>
    <n v="2"/>
    <n v="3"/>
    <n v="4"/>
    <n v="3"/>
    <n v="1"/>
    <n v="2"/>
    <x v="0"/>
    <x v="1"/>
  </r>
  <r>
    <n v="21"/>
    <s v="No"/>
    <s v="Travel_Rarely"/>
    <n v="501"/>
    <s v="Sales"/>
    <n v="5"/>
    <n v="1"/>
    <s v="Medical"/>
    <n v="1"/>
    <n v="2021"/>
    <n v="3"/>
    <s v="Male"/>
    <n v="58"/>
    <n v="3"/>
    <x v="1"/>
    <s v="Sales Representative"/>
    <n v="1"/>
    <s v="Single"/>
    <x v="631"/>
    <n v="25479"/>
    <n v="1"/>
    <s v="Y"/>
    <s v="Yes"/>
    <n v="11"/>
    <n v="3"/>
    <n v="4"/>
    <n v="80"/>
    <n v="0"/>
    <n v="2"/>
    <n v="6"/>
    <n v="3"/>
    <n v="2"/>
    <n v="2"/>
    <n v="1"/>
    <n v="2"/>
    <x v="4"/>
    <x v="1"/>
  </r>
  <r>
    <n v="39"/>
    <s v="No"/>
    <s v="Non-Travel"/>
    <n v="105"/>
    <s v="Research &amp; Development"/>
    <n v="9"/>
    <n v="3"/>
    <s v="Life Sciences"/>
    <n v="1"/>
    <n v="2022"/>
    <n v="4"/>
    <s v="Male"/>
    <n v="87"/>
    <n v="3"/>
    <x v="4"/>
    <s v="Manager"/>
    <n v="4"/>
    <s v="Single"/>
    <x v="1320"/>
    <n v="15302"/>
    <n v="2"/>
    <s v="Y"/>
    <s v="No"/>
    <n v="13"/>
    <n v="3"/>
    <n v="3"/>
    <n v="80"/>
    <n v="0"/>
    <n v="21"/>
    <n v="3"/>
    <n v="2"/>
    <n v="6"/>
    <n v="0"/>
    <n v="1"/>
    <n v="3"/>
    <x v="0"/>
    <x v="3"/>
  </r>
  <r>
    <n v="23"/>
    <s v="Yes"/>
    <s v="Travel_Frequently"/>
    <n v="638"/>
    <s v="Sales"/>
    <n v="9"/>
    <n v="3"/>
    <s v="Marketing"/>
    <n v="1"/>
    <n v="2023"/>
    <n v="4"/>
    <s v="Male"/>
    <n v="33"/>
    <n v="3"/>
    <x v="1"/>
    <s v="Sales Representative"/>
    <n v="1"/>
    <s v="Married"/>
    <x v="1321"/>
    <n v="26956"/>
    <n v="1"/>
    <s v="Y"/>
    <s v="No"/>
    <n v="19"/>
    <n v="3"/>
    <n v="1"/>
    <n v="80"/>
    <n v="1"/>
    <n v="1"/>
    <n v="3"/>
    <n v="2"/>
    <n v="1"/>
    <n v="0"/>
    <n v="1"/>
    <n v="0"/>
    <x v="4"/>
    <x v="1"/>
  </r>
  <r>
    <n v="36"/>
    <s v="No"/>
    <s v="Travel_Rarely"/>
    <n v="557"/>
    <s v="Sales"/>
    <n v="3"/>
    <n v="3"/>
    <s v="Medical"/>
    <n v="1"/>
    <n v="2024"/>
    <n v="1"/>
    <s v="Female"/>
    <n v="94"/>
    <n v="2"/>
    <x v="2"/>
    <s v="Sales Executive"/>
    <n v="4"/>
    <s v="Married"/>
    <x v="1322"/>
    <n v="12695"/>
    <n v="0"/>
    <s v="Y"/>
    <s v="No"/>
    <n v="19"/>
    <n v="3"/>
    <n v="3"/>
    <n v="80"/>
    <n v="2"/>
    <n v="10"/>
    <n v="2"/>
    <n v="3"/>
    <n v="9"/>
    <n v="7"/>
    <n v="3"/>
    <n v="4"/>
    <x v="0"/>
    <x v="2"/>
  </r>
  <r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x v="0"/>
    <s v="Manufacturing Director"/>
    <n v="2"/>
    <s v="Divorced"/>
    <x v="1323"/>
    <n v="9192"/>
    <n v="7"/>
    <s v="Y"/>
    <s v="No"/>
    <n v="13"/>
    <n v="3"/>
    <n v="2"/>
    <n v="80"/>
    <n v="3"/>
    <n v="18"/>
    <n v="3"/>
    <n v="3"/>
    <n v="4"/>
    <n v="2"/>
    <n v="0"/>
    <n v="2"/>
    <x v="0"/>
    <x v="0"/>
  </r>
  <r>
    <n v="56"/>
    <s v="No"/>
    <s v="Non-Travel"/>
    <n v="667"/>
    <s v="Research &amp; Development"/>
    <n v="1"/>
    <n v="4"/>
    <s v="Life Sciences"/>
    <n v="1"/>
    <n v="2026"/>
    <n v="3"/>
    <s v="Male"/>
    <n v="57"/>
    <n v="3"/>
    <x v="0"/>
    <s v="Healthcare Representative"/>
    <n v="3"/>
    <s v="Divorced"/>
    <x v="1324"/>
    <n v="26236"/>
    <n v="1"/>
    <s v="Y"/>
    <s v="No"/>
    <n v="21"/>
    <n v="4"/>
    <n v="1"/>
    <n v="80"/>
    <n v="1"/>
    <n v="13"/>
    <n v="2"/>
    <n v="2"/>
    <n v="13"/>
    <n v="12"/>
    <n v="1"/>
    <n v="9"/>
    <x v="3"/>
    <x v="0"/>
  </r>
  <r>
    <n v="29"/>
    <s v="Yes"/>
    <s v="Travel_Rarely"/>
    <n v="1092"/>
    <s v="Research &amp; Development"/>
    <n v="1"/>
    <n v="4"/>
    <s v="Medical"/>
    <n v="1"/>
    <n v="2027"/>
    <n v="1"/>
    <s v="Male"/>
    <n v="36"/>
    <n v="3"/>
    <x v="1"/>
    <s v="Research Scientist"/>
    <n v="4"/>
    <s v="Married"/>
    <x v="1325"/>
    <n v="26124"/>
    <n v="9"/>
    <s v="Y"/>
    <s v="Yes"/>
    <n v="14"/>
    <n v="3"/>
    <n v="2"/>
    <n v="80"/>
    <n v="3"/>
    <n v="4"/>
    <n v="3"/>
    <n v="4"/>
    <n v="2"/>
    <n v="2"/>
    <n v="2"/>
    <n v="2"/>
    <x v="2"/>
    <x v="0"/>
  </r>
  <r>
    <n v="42"/>
    <s v="No"/>
    <s v="Travel_Rarely"/>
    <n v="300"/>
    <s v="Research &amp; Development"/>
    <n v="2"/>
    <n v="3"/>
    <s v="Life Sciences"/>
    <n v="1"/>
    <n v="2031"/>
    <n v="1"/>
    <s v="Male"/>
    <n v="56"/>
    <n v="3"/>
    <x v="4"/>
    <s v="Manager"/>
    <n v="3"/>
    <s v="Married"/>
    <x v="1326"/>
    <n v="17312"/>
    <n v="5"/>
    <s v="Y"/>
    <s v="No"/>
    <n v="11"/>
    <n v="3"/>
    <n v="1"/>
    <n v="80"/>
    <n v="0"/>
    <n v="24"/>
    <n v="2"/>
    <n v="2"/>
    <n v="22"/>
    <n v="6"/>
    <n v="4"/>
    <n v="14"/>
    <x v="0"/>
    <x v="3"/>
  </r>
  <r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x v="1"/>
    <s v="Laboratory Technician"/>
    <n v="3"/>
    <s v="Married"/>
    <x v="1327"/>
    <n v="3666"/>
    <n v="8"/>
    <s v="Y"/>
    <s v="No"/>
    <n v="11"/>
    <n v="3"/>
    <n v="4"/>
    <n v="80"/>
    <n v="1"/>
    <n v="14"/>
    <n v="4"/>
    <n v="1"/>
    <n v="10"/>
    <n v="9"/>
    <n v="9"/>
    <n v="8"/>
    <x v="3"/>
    <x v="1"/>
  </r>
  <r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x v="3"/>
    <s v="Manufacturing Director"/>
    <n v="2"/>
    <s v="Married"/>
    <x v="1328"/>
    <n v="5640"/>
    <n v="0"/>
    <s v="Y"/>
    <s v="No"/>
    <n v="23"/>
    <n v="4"/>
    <n v="3"/>
    <n v="80"/>
    <n v="1"/>
    <n v="21"/>
    <n v="3"/>
    <n v="3"/>
    <n v="20"/>
    <n v="7"/>
    <n v="0"/>
    <n v="10"/>
    <x v="0"/>
    <x v="3"/>
  </r>
  <r>
    <n v="34"/>
    <s v="No"/>
    <s v="Travel_Rarely"/>
    <n v="704"/>
    <s v="Sales"/>
    <n v="28"/>
    <n v="3"/>
    <s v="Marketing"/>
    <n v="1"/>
    <n v="2035"/>
    <n v="4"/>
    <s v="Female"/>
    <n v="95"/>
    <n v="2"/>
    <x v="0"/>
    <s v="Sales Executive"/>
    <n v="3"/>
    <s v="Married"/>
    <x v="1329"/>
    <n v="8978"/>
    <n v="1"/>
    <s v="Y"/>
    <s v="No"/>
    <n v="21"/>
    <n v="4"/>
    <n v="4"/>
    <n v="80"/>
    <n v="2"/>
    <n v="8"/>
    <n v="2"/>
    <n v="3"/>
    <n v="8"/>
    <n v="7"/>
    <n v="1"/>
    <n v="7"/>
    <x v="2"/>
    <x v="0"/>
  </r>
  <r>
    <n v="36"/>
    <s v="No"/>
    <s v="Non-Travel"/>
    <n v="301"/>
    <s v="Sales"/>
    <n v="15"/>
    <n v="4"/>
    <s v="Marketing"/>
    <n v="1"/>
    <n v="2036"/>
    <n v="4"/>
    <s v="Male"/>
    <n v="88"/>
    <n v="1"/>
    <x v="0"/>
    <s v="Sales Executive"/>
    <n v="4"/>
    <s v="Divorced"/>
    <x v="1330"/>
    <n v="10436"/>
    <n v="1"/>
    <s v="Y"/>
    <s v="No"/>
    <n v="24"/>
    <n v="4"/>
    <n v="1"/>
    <n v="80"/>
    <n v="1"/>
    <n v="15"/>
    <n v="4"/>
    <n v="2"/>
    <n v="15"/>
    <n v="12"/>
    <n v="11"/>
    <n v="11"/>
    <x v="0"/>
    <x v="0"/>
  </r>
  <r>
    <n v="41"/>
    <s v="No"/>
    <s v="Travel_Rarely"/>
    <n v="930"/>
    <s v="Sales"/>
    <n v="3"/>
    <n v="3"/>
    <s v="Life Sciences"/>
    <n v="1"/>
    <n v="2037"/>
    <n v="3"/>
    <s v="Male"/>
    <n v="57"/>
    <n v="2"/>
    <x v="0"/>
    <s v="Sales Executive"/>
    <n v="2"/>
    <s v="Divorced"/>
    <x v="1331"/>
    <n v="12227"/>
    <n v="2"/>
    <s v="Y"/>
    <s v="No"/>
    <n v="11"/>
    <n v="3"/>
    <n v="3"/>
    <n v="80"/>
    <n v="1"/>
    <n v="14"/>
    <n v="5"/>
    <n v="3"/>
    <n v="5"/>
    <n v="4"/>
    <n v="0"/>
    <n v="4"/>
    <x v="0"/>
    <x v="2"/>
  </r>
  <r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x v="1"/>
    <s v="Research Scientist"/>
    <n v="1"/>
    <s v="Single"/>
    <x v="1234"/>
    <n v="11288"/>
    <n v="1"/>
    <s v="Y"/>
    <s v="No"/>
    <n v="14"/>
    <n v="3"/>
    <n v="4"/>
    <n v="80"/>
    <n v="0"/>
    <n v="4"/>
    <n v="4"/>
    <n v="3"/>
    <n v="4"/>
    <n v="2"/>
    <n v="1"/>
    <n v="2"/>
    <x v="2"/>
    <x v="1"/>
  </r>
  <r>
    <n v="35"/>
    <s v="No"/>
    <s v="Travel_Rarely"/>
    <n v="1146"/>
    <s v="Human Resources"/>
    <n v="26"/>
    <n v="4"/>
    <s v="Life Sciences"/>
    <n v="1"/>
    <n v="2040"/>
    <n v="3"/>
    <s v="Female"/>
    <n v="31"/>
    <n v="3"/>
    <x v="2"/>
    <s v="Human Resources"/>
    <n v="4"/>
    <s v="Single"/>
    <x v="1332"/>
    <n v="16642"/>
    <n v="1"/>
    <s v="Y"/>
    <s v="Yes"/>
    <n v="16"/>
    <n v="3"/>
    <n v="3"/>
    <n v="80"/>
    <n v="0"/>
    <n v="9"/>
    <n v="2"/>
    <n v="3"/>
    <n v="9"/>
    <n v="0"/>
    <n v="1"/>
    <n v="7"/>
    <x v="2"/>
    <x v="2"/>
  </r>
  <r>
    <n v="38"/>
    <s v="No"/>
    <s v="Travel_Rarely"/>
    <n v="345"/>
    <s v="Sales"/>
    <n v="10"/>
    <n v="2"/>
    <s v="Life Sciences"/>
    <n v="1"/>
    <n v="2041"/>
    <n v="1"/>
    <s v="Female"/>
    <n v="100"/>
    <n v="3"/>
    <x v="0"/>
    <s v="Sales Executive"/>
    <n v="4"/>
    <s v="Married"/>
    <x v="798"/>
    <n v="5982"/>
    <n v="1"/>
    <s v="Y"/>
    <s v="No"/>
    <n v="11"/>
    <n v="3"/>
    <n v="3"/>
    <n v="80"/>
    <n v="1"/>
    <n v="10"/>
    <n v="1"/>
    <n v="3"/>
    <n v="10"/>
    <n v="7"/>
    <n v="1"/>
    <n v="9"/>
    <x v="0"/>
    <x v="0"/>
  </r>
  <r>
    <n v="50"/>
    <s v="Yes"/>
    <s v="Travel_Frequently"/>
    <n v="878"/>
    <s v="Sales"/>
    <n v="1"/>
    <n v="4"/>
    <s v="Life Sciences"/>
    <n v="1"/>
    <n v="2044"/>
    <n v="2"/>
    <s v="Male"/>
    <n v="94"/>
    <n v="3"/>
    <x v="0"/>
    <s v="Sales Executive"/>
    <n v="3"/>
    <s v="Divorced"/>
    <x v="1333"/>
    <n v="14255"/>
    <n v="7"/>
    <s v="Y"/>
    <s v="No"/>
    <n v="12"/>
    <n v="3"/>
    <n v="4"/>
    <n v="80"/>
    <n v="2"/>
    <n v="12"/>
    <n v="3"/>
    <n v="3"/>
    <n v="6"/>
    <n v="3"/>
    <n v="0"/>
    <n v="1"/>
    <x v="1"/>
    <x v="0"/>
  </r>
  <r>
    <n v="36"/>
    <s v="No"/>
    <s v="Travel_Rarely"/>
    <n v="1120"/>
    <s v="Sales"/>
    <n v="11"/>
    <n v="4"/>
    <s v="Marketing"/>
    <n v="1"/>
    <n v="2045"/>
    <n v="2"/>
    <s v="Female"/>
    <n v="100"/>
    <n v="2"/>
    <x v="0"/>
    <s v="Sales Executive"/>
    <n v="4"/>
    <s v="Married"/>
    <x v="1334"/>
    <n v="14369"/>
    <n v="4"/>
    <s v="Y"/>
    <s v="No"/>
    <n v="13"/>
    <n v="3"/>
    <n v="1"/>
    <n v="80"/>
    <n v="1"/>
    <n v="8"/>
    <n v="2"/>
    <n v="2"/>
    <n v="6"/>
    <n v="3"/>
    <n v="0"/>
    <n v="0"/>
    <x v="0"/>
    <x v="0"/>
  </r>
  <r>
    <n v="45"/>
    <s v="No"/>
    <s v="Travel_Rarely"/>
    <n v="374"/>
    <s v="Sales"/>
    <n v="20"/>
    <n v="3"/>
    <s v="Life Sciences"/>
    <n v="1"/>
    <n v="2046"/>
    <n v="4"/>
    <s v="Female"/>
    <n v="50"/>
    <n v="3"/>
    <x v="0"/>
    <s v="Sales Executive"/>
    <n v="3"/>
    <s v="Single"/>
    <x v="1335"/>
    <n v="23333"/>
    <n v="8"/>
    <s v="Y"/>
    <s v="No"/>
    <n v="15"/>
    <n v="3"/>
    <n v="3"/>
    <n v="80"/>
    <n v="0"/>
    <n v="8"/>
    <n v="3"/>
    <n v="3"/>
    <n v="5"/>
    <n v="3"/>
    <n v="0"/>
    <n v="1"/>
    <x v="0"/>
    <x v="0"/>
  </r>
  <r>
    <n v="40"/>
    <s v="No"/>
    <s v="Travel_Rarely"/>
    <n v="1322"/>
    <s v="Research &amp; Development"/>
    <n v="2"/>
    <n v="4"/>
    <s v="Life Sciences"/>
    <n v="1"/>
    <n v="2048"/>
    <n v="3"/>
    <s v="Male"/>
    <n v="52"/>
    <n v="2"/>
    <x v="1"/>
    <s v="Research Scientist"/>
    <n v="3"/>
    <s v="Single"/>
    <x v="1336"/>
    <n v="2725"/>
    <n v="2"/>
    <s v="Y"/>
    <s v="No"/>
    <n v="14"/>
    <n v="3"/>
    <n v="4"/>
    <n v="80"/>
    <n v="0"/>
    <n v="8"/>
    <n v="2"/>
    <n v="3"/>
    <n v="2"/>
    <n v="2"/>
    <n v="2"/>
    <n v="2"/>
    <x v="0"/>
    <x v="1"/>
  </r>
  <r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x v="0"/>
    <s v="Healthcare Representative"/>
    <n v="3"/>
    <s v="Married"/>
    <x v="1337"/>
    <n v="24594"/>
    <n v="1"/>
    <s v="Y"/>
    <s v="Yes"/>
    <n v="14"/>
    <n v="3"/>
    <n v="4"/>
    <n v="80"/>
    <n v="2"/>
    <n v="10"/>
    <n v="2"/>
    <n v="4"/>
    <n v="10"/>
    <n v="2"/>
    <n v="0"/>
    <n v="2"/>
    <x v="2"/>
    <x v="0"/>
  </r>
  <r>
    <n v="40"/>
    <s v="No"/>
    <s v="Travel_Rarely"/>
    <n v="1194"/>
    <s v="Research &amp; Development"/>
    <n v="2"/>
    <n v="4"/>
    <s v="Medical"/>
    <n v="1"/>
    <n v="2051"/>
    <n v="3"/>
    <s v="Female"/>
    <n v="98"/>
    <n v="3"/>
    <x v="1"/>
    <s v="Research Scientist"/>
    <n v="3"/>
    <s v="Married"/>
    <x v="1338"/>
    <n v="12549"/>
    <n v="2"/>
    <s v="Y"/>
    <s v="No"/>
    <n v="14"/>
    <n v="3"/>
    <n v="2"/>
    <n v="80"/>
    <n v="3"/>
    <n v="20"/>
    <n v="2"/>
    <n v="3"/>
    <n v="5"/>
    <n v="3"/>
    <n v="0"/>
    <n v="2"/>
    <x v="0"/>
    <x v="1"/>
  </r>
  <r>
    <n v="35"/>
    <s v="No"/>
    <s v="Travel_Rarely"/>
    <n v="287"/>
    <s v="Research &amp; Development"/>
    <n v="1"/>
    <n v="4"/>
    <s v="Life Sciences"/>
    <n v="1"/>
    <n v="2052"/>
    <n v="3"/>
    <s v="Female"/>
    <n v="62"/>
    <n v="1"/>
    <x v="1"/>
    <s v="Research Scientist"/>
    <n v="4"/>
    <s v="Married"/>
    <x v="1339"/>
    <n v="8952"/>
    <n v="1"/>
    <s v="Y"/>
    <s v="No"/>
    <n v="12"/>
    <n v="3"/>
    <n v="4"/>
    <n v="80"/>
    <n v="1"/>
    <n v="4"/>
    <n v="5"/>
    <n v="3"/>
    <n v="4"/>
    <n v="3"/>
    <n v="1"/>
    <n v="1"/>
    <x v="2"/>
    <x v="1"/>
  </r>
  <r>
    <n v="29"/>
    <s v="No"/>
    <s v="Travel_Rarely"/>
    <n v="1378"/>
    <s v="Research &amp; Development"/>
    <n v="13"/>
    <n v="2"/>
    <s v="Other"/>
    <n v="1"/>
    <n v="2053"/>
    <n v="4"/>
    <s v="Male"/>
    <n v="46"/>
    <n v="2"/>
    <x v="0"/>
    <s v="Laboratory Technician"/>
    <n v="2"/>
    <s v="Married"/>
    <x v="717"/>
    <n v="23679"/>
    <n v="4"/>
    <s v="Y"/>
    <s v="Yes"/>
    <n v="13"/>
    <n v="3"/>
    <n v="1"/>
    <n v="80"/>
    <n v="1"/>
    <n v="10"/>
    <n v="2"/>
    <n v="3"/>
    <n v="4"/>
    <n v="3"/>
    <n v="0"/>
    <n v="3"/>
    <x v="2"/>
    <x v="0"/>
  </r>
  <r>
    <n v="29"/>
    <s v="No"/>
    <s v="Travel_Rarely"/>
    <n v="468"/>
    <s v="Research &amp; Development"/>
    <n v="28"/>
    <n v="4"/>
    <s v="Medical"/>
    <n v="1"/>
    <n v="2054"/>
    <n v="4"/>
    <s v="Female"/>
    <n v="73"/>
    <n v="2"/>
    <x v="1"/>
    <s v="Research Scientist"/>
    <n v="1"/>
    <s v="Single"/>
    <x v="1340"/>
    <n v="8489"/>
    <n v="1"/>
    <s v="Y"/>
    <s v="No"/>
    <n v="14"/>
    <n v="3"/>
    <n v="2"/>
    <n v="80"/>
    <n v="0"/>
    <n v="5"/>
    <n v="3"/>
    <n v="1"/>
    <n v="5"/>
    <n v="4"/>
    <n v="0"/>
    <n v="4"/>
    <x v="2"/>
    <x v="0"/>
  </r>
  <r>
    <n v="50"/>
    <s v="Yes"/>
    <s v="Travel_Rarely"/>
    <n v="410"/>
    <s v="Sales"/>
    <n v="28"/>
    <n v="3"/>
    <s v="Marketing"/>
    <n v="1"/>
    <n v="2055"/>
    <n v="4"/>
    <s v="Male"/>
    <n v="39"/>
    <n v="2"/>
    <x v="2"/>
    <s v="Sales Executive"/>
    <n v="1"/>
    <s v="Divorced"/>
    <x v="1341"/>
    <n v="16586"/>
    <n v="4"/>
    <s v="Y"/>
    <s v="Yes"/>
    <n v="13"/>
    <n v="3"/>
    <n v="2"/>
    <n v="80"/>
    <n v="1"/>
    <n v="20"/>
    <n v="3"/>
    <n v="3"/>
    <n v="3"/>
    <n v="2"/>
    <n v="2"/>
    <n v="0"/>
    <x v="1"/>
    <x v="2"/>
  </r>
  <r>
    <n v="39"/>
    <s v="No"/>
    <s v="Travel_Rarely"/>
    <n v="722"/>
    <s v="Sales"/>
    <n v="24"/>
    <n v="1"/>
    <s v="Marketing"/>
    <n v="1"/>
    <n v="2056"/>
    <n v="2"/>
    <s v="Female"/>
    <n v="60"/>
    <n v="2"/>
    <x v="3"/>
    <s v="Sales Executive"/>
    <n v="4"/>
    <s v="Married"/>
    <x v="1342"/>
    <n v="8828"/>
    <n v="0"/>
    <s v="Y"/>
    <s v="No"/>
    <n v="11"/>
    <n v="3"/>
    <n v="1"/>
    <n v="80"/>
    <n v="1"/>
    <n v="21"/>
    <n v="2"/>
    <n v="2"/>
    <n v="20"/>
    <n v="9"/>
    <n v="9"/>
    <n v="6"/>
    <x v="0"/>
    <x v="3"/>
  </r>
  <r>
    <n v="31"/>
    <s v="No"/>
    <s v="Non-Travel"/>
    <n v="325"/>
    <s v="Research &amp; Development"/>
    <n v="5"/>
    <n v="3"/>
    <s v="Medical"/>
    <n v="1"/>
    <n v="2057"/>
    <n v="2"/>
    <s v="Male"/>
    <n v="74"/>
    <n v="3"/>
    <x v="0"/>
    <s v="Manufacturing Director"/>
    <n v="1"/>
    <s v="Single"/>
    <x v="1343"/>
    <n v="3787"/>
    <n v="0"/>
    <s v="Y"/>
    <s v="No"/>
    <n v="19"/>
    <n v="3"/>
    <n v="2"/>
    <n v="80"/>
    <n v="0"/>
    <n v="10"/>
    <n v="2"/>
    <n v="3"/>
    <n v="9"/>
    <n v="4"/>
    <n v="1"/>
    <n v="7"/>
    <x v="2"/>
    <x v="2"/>
  </r>
  <r>
    <n v="26"/>
    <s v="No"/>
    <s v="Travel_Rarely"/>
    <n v="1167"/>
    <s v="Sales"/>
    <n v="5"/>
    <n v="3"/>
    <s v="Other"/>
    <n v="1"/>
    <n v="2060"/>
    <n v="4"/>
    <s v="Female"/>
    <n v="30"/>
    <n v="2"/>
    <x v="1"/>
    <s v="Sales Representative"/>
    <n v="3"/>
    <s v="Single"/>
    <x v="1344"/>
    <n v="21378"/>
    <n v="0"/>
    <s v="Y"/>
    <s v="No"/>
    <n v="18"/>
    <n v="3"/>
    <n v="4"/>
    <n v="80"/>
    <n v="0"/>
    <n v="5"/>
    <n v="2"/>
    <n v="3"/>
    <n v="4"/>
    <n v="2"/>
    <n v="0"/>
    <n v="0"/>
    <x v="2"/>
    <x v="1"/>
  </r>
  <r>
    <n v="36"/>
    <s v="No"/>
    <s v="Travel_Frequently"/>
    <n v="884"/>
    <s v="Research &amp; Development"/>
    <n v="23"/>
    <n v="2"/>
    <s v="Medical"/>
    <n v="1"/>
    <n v="2061"/>
    <n v="3"/>
    <s v="Male"/>
    <n v="41"/>
    <n v="4"/>
    <x v="0"/>
    <s v="Laboratory Technician"/>
    <n v="4"/>
    <s v="Married"/>
    <x v="1345"/>
    <n v="12290"/>
    <n v="4"/>
    <s v="Y"/>
    <s v="No"/>
    <n v="17"/>
    <n v="3"/>
    <n v="3"/>
    <n v="80"/>
    <n v="1"/>
    <n v="17"/>
    <n v="3"/>
    <n v="3"/>
    <n v="5"/>
    <n v="2"/>
    <n v="0"/>
    <n v="3"/>
    <x v="0"/>
    <x v="1"/>
  </r>
  <r>
    <n v="39"/>
    <s v="No"/>
    <s v="Travel_Rarely"/>
    <n v="613"/>
    <s v="Research &amp; Development"/>
    <n v="6"/>
    <n v="1"/>
    <s v="Medical"/>
    <n v="1"/>
    <n v="2062"/>
    <n v="4"/>
    <s v="Male"/>
    <n v="42"/>
    <n v="2"/>
    <x v="2"/>
    <s v="Healthcare Representative"/>
    <n v="1"/>
    <s v="Married"/>
    <x v="1346"/>
    <n v="21457"/>
    <n v="4"/>
    <s v="Y"/>
    <s v="No"/>
    <n v="15"/>
    <n v="3"/>
    <n v="1"/>
    <n v="80"/>
    <n v="1"/>
    <n v="9"/>
    <n v="5"/>
    <n v="3"/>
    <n v="7"/>
    <n v="7"/>
    <n v="1"/>
    <n v="7"/>
    <x v="0"/>
    <x v="2"/>
  </r>
  <r>
    <n v="27"/>
    <s v="No"/>
    <s v="Travel_Rarely"/>
    <n v="155"/>
    <s v="Research &amp; Development"/>
    <n v="4"/>
    <n v="3"/>
    <s v="Life Sciences"/>
    <n v="1"/>
    <n v="2064"/>
    <n v="2"/>
    <s v="Male"/>
    <n v="87"/>
    <n v="4"/>
    <x v="0"/>
    <s v="Manufacturing Director"/>
    <n v="2"/>
    <s v="Married"/>
    <x v="528"/>
    <n v="5174"/>
    <n v="1"/>
    <s v="Y"/>
    <s v="Yes"/>
    <n v="20"/>
    <n v="4"/>
    <n v="2"/>
    <n v="80"/>
    <n v="1"/>
    <n v="6"/>
    <n v="0"/>
    <n v="3"/>
    <n v="6"/>
    <n v="2"/>
    <n v="0"/>
    <n v="3"/>
    <x v="2"/>
    <x v="0"/>
  </r>
  <r>
    <n v="49"/>
    <s v="No"/>
    <s v="Travel_Frequently"/>
    <n v="1023"/>
    <s v="Sales"/>
    <n v="2"/>
    <n v="3"/>
    <s v="Medical"/>
    <n v="1"/>
    <n v="2065"/>
    <n v="4"/>
    <s v="Male"/>
    <n v="63"/>
    <n v="2"/>
    <x v="0"/>
    <s v="Sales Executive"/>
    <n v="2"/>
    <s v="Married"/>
    <x v="1347"/>
    <n v="13243"/>
    <n v="2"/>
    <s v="Y"/>
    <s v="No"/>
    <n v="14"/>
    <n v="3"/>
    <n v="4"/>
    <n v="80"/>
    <n v="0"/>
    <n v="17"/>
    <n v="3"/>
    <n v="2"/>
    <n v="9"/>
    <n v="6"/>
    <n v="0"/>
    <n v="8"/>
    <x v="1"/>
    <x v="0"/>
  </r>
  <r>
    <n v="34"/>
    <s v="No"/>
    <s v="Travel_Rarely"/>
    <n v="628"/>
    <s v="Research &amp; Development"/>
    <n v="8"/>
    <n v="3"/>
    <s v="Medical"/>
    <n v="1"/>
    <n v="2068"/>
    <n v="2"/>
    <s v="Male"/>
    <n v="82"/>
    <n v="4"/>
    <x v="0"/>
    <s v="Laboratory Technician"/>
    <n v="3"/>
    <s v="Married"/>
    <x v="1348"/>
    <n v="10228"/>
    <n v="2"/>
    <s v="Y"/>
    <s v="No"/>
    <n v="12"/>
    <n v="3"/>
    <n v="1"/>
    <n v="80"/>
    <n v="0"/>
    <n v="6"/>
    <n v="3"/>
    <n v="4"/>
    <n v="4"/>
    <n v="3"/>
    <n v="1"/>
    <n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grandTotalCaption="Grand Total" updatedVersion="5" minRefreshableVersion="3" useAutoFormatting="1" itemPrintTitles="1" createdVersion="5" indent="0" outline="1" outlineData="1" multipleFieldFilters="0" colHeaderCaption="Age Range">
  <location ref="B38:H40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n="18 to 25 years old" x="4"/>
        <item n="26 to 35 years old" x="2"/>
        <item n="36 to 45 years old" x="0"/>
        <item n="46 to 55 years old" x="1"/>
        <item n="56 years or older" x="3"/>
        <item t="default"/>
      </items>
    </pivotField>
    <pivotField showAll="0">
      <items count="5">
        <item x="0"/>
        <item x="2"/>
        <item x="3"/>
        <item x="1"/>
        <item t="default"/>
      </items>
    </pivotField>
  </pivotFields>
  <rowItems count="1">
    <i/>
  </rowItems>
  <colFields count="1">
    <field x="3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onthly Income" fld="18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um salary for level" cacheId="0" applyNumberFormats="0" applyBorderFormats="0" applyFontFormats="0" applyPatternFormats="0" applyAlignmentFormats="0" applyWidthHeightFormats="1" dataCaption="Valores" grandTotalCaption="Grand Total" updatedVersion="5" minRefreshableVersion="3" useAutoFormatting="1" itemPrintTitles="1" createdVersion="5" indent="0" outline="1" outlineData="1" multipleFieldFilters="0" colHeaderCaption="Job Level">
  <location ref="B32:H34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1"/>
        <item x="3"/>
        <item t="default"/>
      </items>
    </pivotField>
    <pivotField showAll="0"/>
  </pivotFields>
  <rowItems count="1">
    <i/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onthly Income" fld="18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Job Level" cacheId="0" applyNumberFormats="0" applyBorderFormats="0" applyFontFormats="0" applyPatternFormats="0" applyAlignmentFormats="0" applyWidthHeightFormats="1" dataCaption="Valores" grandTotalCaption="Grand Total" updatedVersion="5" minRefreshableVersion="3" useAutoFormatting="1" itemPrintTitles="1" createdVersion="5" indent="0" outline="1" outlineData="1" multipleFieldFilters="0" chartFormat="5" rowHeaderCaption="Job Level" fieldListSortAscending="1">
  <location ref="H22:I28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1"/>
        <item x="3"/>
        <item t="default"/>
      </items>
    </pivotField>
    <pivotField showAll="0">
      <items count="5">
        <item n="Up to $3.000" x="1"/>
        <item n="$3.001 to $7.000" x="0"/>
        <item n="$7.001 to $12.000" x="2"/>
        <item n="Over $12.000"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d Monthly Income" fld="18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ge Group" cacheId="0" applyNumberFormats="0" applyBorderFormats="0" applyFontFormats="0" applyPatternFormats="0" applyAlignmentFormats="0" applyWidthHeightFormats="1" dataCaption="Valores" grandTotalCaption="Grand total" updatedVersion="5" minRefreshableVersion="3" useAutoFormatting="1" itemPrintTitles="1" createdVersion="5" indent="0" outline="1" outlineData="1" multipleFieldFilters="0" chartFormat="12" rowHeaderCaption="Age Range">
  <location ref="H6:I12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6">
        <item n="18 to 25 years old" x="4"/>
        <item n="26 to 35 years old" x="2"/>
        <item n="36 to 45 years old" x="0"/>
        <item n="46 to 55 years old" x="1"/>
        <item n="56 years or older" x="3"/>
        <item t="default"/>
      </items>
    </pivotField>
    <pivotField showAll="0">
      <items count="5">
        <item x="0"/>
        <item x="2"/>
        <item x="3"/>
        <item x="1"/>
        <item t="default"/>
      </items>
    </pivotField>
  </pivotFields>
  <rowFields count="1">
    <field x="3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Income" fld="18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JobLevel" sourceName="JobLevel">
  <pivotTables>
    <pivotTable tabId="1" name="Age Group"/>
    <pivotTable tabId="1" name="Job Level"/>
    <pivotTable tabId="1" name="Sum salary for level"/>
    <pivotTable tabId="1" name="Tabela dinâmica5"/>
  </pivotTables>
  <data>
    <tabular pivotCacheId="1">
      <items count="5">
        <i x="1" s="1"/>
        <i x="0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ge_Group" sourceName="Age Group">
  <pivotTables>
    <pivotTable tabId="1" name="Tabela dinâmica5"/>
    <pivotTable tabId="1" name="Age Group"/>
    <pivotTable tabId="1" name="Job Level"/>
    <pivotTable tabId="1" name="Sum salary for level"/>
  </pivotTables>
  <data>
    <tabular pivotCacheId="1">
      <items count="5">
        <i x="4" s="1"/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b Level" cache="SegmentaçãodeDados_JobLevel" caption="Job Level" style="SlicerStyleDark2" rowHeight="241300"/>
  <slicer name="Age Group" cache="SegmentaçãodeDados_Age_Group" caption="Age Group" style="SlicerStyleDark2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JobLevel 1" cache="SegmentaçãodeDados_JobLevel" caption="Job Level" style="SlicerStyleDark2 2" rowHeight="241300"/>
  <slicer name="Age Group 1" cache="SegmentaçãodeDados_Age_Group" caption="Age Group" style="SlicerStyleDark2 2" rowHeight="241300"/>
</slicers>
</file>

<file path=xl/tables/table1.xml><?xml version="1.0" encoding="utf-8"?>
<table xmlns="http://schemas.openxmlformats.org/spreadsheetml/2006/main" id="1" name="tb_RH" displayName="tb_RH" ref="A1:AK1471" totalsRowShown="0">
  <autoFilter ref="A1:AK1471"/>
  <tableColumns count="37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ge Group" dataDxfId="1">
      <calculatedColumnFormula>VLOOKUP(A2,Assets!$B$7:$C$11,2,TRUE)</calculatedColumnFormula>
    </tableColumn>
    <tableColumn id="37" name="Salary Group" dataDxfId="0">
      <calculatedColumnFormula>VLOOKUP(S2,Assets!$B$11:$C$26,2,TRUE)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2"/>
  <sheetViews>
    <sheetView topLeftCell="A25" workbookViewId="0">
      <selection activeCell="H17" sqref="H17"/>
    </sheetView>
  </sheetViews>
  <sheetFormatPr defaultRowHeight="14.5" x14ac:dyDescent="0.35"/>
  <cols>
    <col min="2" max="2" width="21.08984375" customWidth="1"/>
    <col min="3" max="6" width="15.6328125" customWidth="1"/>
    <col min="7" max="7" width="14.90625" customWidth="1"/>
    <col min="8" max="8" width="10.7265625" customWidth="1"/>
    <col min="9" max="9" width="21.54296875" customWidth="1"/>
    <col min="10" max="10" width="7.6328125" customWidth="1"/>
    <col min="11" max="11" width="25.36328125" customWidth="1"/>
    <col min="12" max="12" width="22" customWidth="1"/>
    <col min="13" max="16" width="7.81640625" customWidth="1"/>
    <col min="17" max="17" width="10" bestFit="1" customWidth="1"/>
  </cols>
  <sheetData>
    <row r="2" spans="2:20" x14ac:dyDescent="0.35">
      <c r="B2" s="3"/>
      <c r="C2" t="s">
        <v>76</v>
      </c>
      <c r="E2" s="4"/>
      <c r="F2" t="s">
        <v>77</v>
      </c>
      <c r="H2" s="5"/>
      <c r="I2" t="s">
        <v>78</v>
      </c>
    </row>
    <row r="3" spans="2:20" x14ac:dyDescent="0.35">
      <c r="B3" t="s">
        <v>72</v>
      </c>
      <c r="E3" t="s">
        <v>70</v>
      </c>
      <c r="H3" t="s">
        <v>71</v>
      </c>
    </row>
    <row r="5" spans="2:20" x14ac:dyDescent="0.35">
      <c r="B5" s="2" t="s">
        <v>62</v>
      </c>
      <c r="C5" s="2"/>
      <c r="E5" t="s">
        <v>89</v>
      </c>
      <c r="T5">
        <f>Assets!H36</f>
        <v>9559309</v>
      </c>
    </row>
    <row r="6" spans="2:20" x14ac:dyDescent="0.35">
      <c r="B6" s="8" t="s">
        <v>63</v>
      </c>
      <c r="C6" s="9" t="s">
        <v>64</v>
      </c>
      <c r="H6" s="18" t="s">
        <v>69</v>
      </c>
      <c r="I6" t="s">
        <v>85</v>
      </c>
    </row>
    <row r="7" spans="2:20" x14ac:dyDescent="0.35">
      <c r="B7" s="14">
        <v>18</v>
      </c>
      <c r="C7" s="11" t="s">
        <v>80</v>
      </c>
      <c r="H7" s="19" t="s">
        <v>80</v>
      </c>
      <c r="I7" s="20">
        <v>365665</v>
      </c>
    </row>
    <row r="8" spans="2:20" x14ac:dyDescent="0.35">
      <c r="B8" s="15">
        <v>26</v>
      </c>
      <c r="C8" s="13" t="s">
        <v>81</v>
      </c>
      <c r="H8" s="19" t="s">
        <v>81</v>
      </c>
      <c r="I8" s="20">
        <v>2966754</v>
      </c>
    </row>
    <row r="9" spans="2:20" x14ac:dyDescent="0.35">
      <c r="B9" s="14">
        <v>36</v>
      </c>
      <c r="C9" s="11" t="s">
        <v>82</v>
      </c>
      <c r="H9" s="19" t="s">
        <v>82</v>
      </c>
      <c r="I9" s="20">
        <v>3324880</v>
      </c>
    </row>
    <row r="10" spans="2:20" x14ac:dyDescent="0.35">
      <c r="B10" s="15">
        <v>46</v>
      </c>
      <c r="C10" s="13" t="s">
        <v>83</v>
      </c>
      <c r="H10" s="19" t="s">
        <v>83</v>
      </c>
      <c r="I10" s="20">
        <v>2469719</v>
      </c>
    </row>
    <row r="11" spans="2:20" x14ac:dyDescent="0.35">
      <c r="B11" s="16">
        <v>56</v>
      </c>
      <c r="C11" s="7" t="s">
        <v>84</v>
      </c>
      <c r="H11" s="19" t="s">
        <v>84</v>
      </c>
      <c r="I11" s="20">
        <v>432291</v>
      </c>
    </row>
    <row r="12" spans="2:20" x14ac:dyDescent="0.35">
      <c r="H12" s="19" t="s">
        <v>79</v>
      </c>
      <c r="I12" s="20">
        <v>9559309</v>
      </c>
    </row>
    <row r="21" spans="2:11" x14ac:dyDescent="0.35">
      <c r="B21" t="s">
        <v>65</v>
      </c>
      <c r="E21" t="s">
        <v>86</v>
      </c>
    </row>
    <row r="22" spans="2:11" x14ac:dyDescent="0.35">
      <c r="B22" s="8" t="s">
        <v>66</v>
      </c>
      <c r="C22" s="9" t="s">
        <v>65</v>
      </c>
      <c r="H22" s="18" t="s">
        <v>68</v>
      </c>
      <c r="I22" t="s">
        <v>92</v>
      </c>
    </row>
    <row r="23" spans="2:11" x14ac:dyDescent="0.35">
      <c r="B23" s="10">
        <v>0</v>
      </c>
      <c r="C23" s="11" t="s">
        <v>75</v>
      </c>
      <c r="H23" s="19">
        <v>1</v>
      </c>
      <c r="I23" s="20">
        <v>1513295</v>
      </c>
      <c r="K23" s="20"/>
    </row>
    <row r="24" spans="2:11" x14ac:dyDescent="0.35">
      <c r="B24" s="12">
        <v>3001</v>
      </c>
      <c r="C24" s="13" t="s">
        <v>87</v>
      </c>
      <c r="H24" s="19">
        <v>2</v>
      </c>
      <c r="I24" s="20">
        <v>2938216</v>
      </c>
    </row>
    <row r="25" spans="2:11" x14ac:dyDescent="0.35">
      <c r="B25" s="10">
        <v>7001</v>
      </c>
      <c r="C25" s="11" t="s">
        <v>88</v>
      </c>
      <c r="H25" s="19">
        <v>3</v>
      </c>
      <c r="I25" s="20">
        <v>2140161</v>
      </c>
    </row>
    <row r="26" spans="2:11" x14ac:dyDescent="0.35">
      <c r="B26" s="1">
        <v>12001</v>
      </c>
      <c r="C26" s="6" t="s">
        <v>74</v>
      </c>
      <c r="H26" s="19">
        <v>4</v>
      </c>
      <c r="I26" s="20">
        <v>1643401</v>
      </c>
    </row>
    <row r="27" spans="2:11" x14ac:dyDescent="0.35">
      <c r="H27" s="19">
        <v>5</v>
      </c>
      <c r="I27" s="20">
        <v>1324236</v>
      </c>
    </row>
    <row r="28" spans="2:11" x14ac:dyDescent="0.35">
      <c r="H28" s="19" t="s">
        <v>90</v>
      </c>
      <c r="I28" s="20">
        <v>9559309</v>
      </c>
    </row>
    <row r="29" spans="2:11" x14ac:dyDescent="0.35">
      <c r="B29" t="s">
        <v>91</v>
      </c>
    </row>
    <row r="32" spans="2:11" x14ac:dyDescent="0.35">
      <c r="C32" s="18" t="s">
        <v>68</v>
      </c>
    </row>
    <row r="33" spans="2:8" x14ac:dyDescent="0.35">
      <c r="C33">
        <v>1</v>
      </c>
      <c r="D33">
        <v>2</v>
      </c>
      <c r="E33">
        <v>3</v>
      </c>
      <c r="F33">
        <v>4</v>
      </c>
      <c r="G33">
        <v>5</v>
      </c>
      <c r="H33" t="s">
        <v>90</v>
      </c>
    </row>
    <row r="34" spans="2:8" x14ac:dyDescent="0.35">
      <c r="B34" t="s">
        <v>85</v>
      </c>
      <c r="C34" s="20">
        <v>1513295</v>
      </c>
      <c r="D34" s="20">
        <v>2938216</v>
      </c>
      <c r="E34" s="20">
        <v>2140161</v>
      </c>
      <c r="F34" s="20">
        <v>1643401</v>
      </c>
      <c r="G34" s="20">
        <v>1324236</v>
      </c>
      <c r="H34" s="20">
        <v>9559309</v>
      </c>
    </row>
    <row r="36" spans="2:8" x14ac:dyDescent="0.35">
      <c r="H36" s="23">
        <f>GETPIVOTDATA("MonthlyIncome",$B$32)</f>
        <v>9559309</v>
      </c>
    </row>
    <row r="38" spans="2:8" x14ac:dyDescent="0.35">
      <c r="C38" s="18" t="s">
        <v>69</v>
      </c>
    </row>
    <row r="39" spans="2:8" x14ac:dyDescent="0.35">
      <c r="C39" t="s">
        <v>80</v>
      </c>
      <c r="D39" t="s">
        <v>81</v>
      </c>
      <c r="E39" t="s">
        <v>82</v>
      </c>
      <c r="F39" t="s">
        <v>83</v>
      </c>
      <c r="G39" t="s">
        <v>84</v>
      </c>
      <c r="H39" t="s">
        <v>90</v>
      </c>
    </row>
    <row r="40" spans="2:8" x14ac:dyDescent="0.35">
      <c r="B40" t="s">
        <v>85</v>
      </c>
      <c r="C40" s="20">
        <v>365665</v>
      </c>
      <c r="D40" s="20">
        <v>2966754</v>
      </c>
      <c r="E40" s="20">
        <v>3324880</v>
      </c>
      <c r="F40" s="20">
        <v>2469719</v>
      </c>
      <c r="G40" s="20">
        <v>432291</v>
      </c>
      <c r="H40" s="20">
        <v>9559309</v>
      </c>
    </row>
    <row r="42" spans="2:8" x14ac:dyDescent="0.35">
      <c r="H42" s="23">
        <f>GETPIVOTDATA("MonthlyIncome",$B$38)</f>
        <v>9559309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1"/>
  <sheetViews>
    <sheetView topLeftCell="A43" workbookViewId="0">
      <selection sqref="A1:AK1471"/>
    </sheetView>
  </sheetViews>
  <sheetFormatPr defaultRowHeight="14.5" x14ac:dyDescent="0.35"/>
  <cols>
    <col min="1" max="1" width="5.90625" customWidth="1"/>
    <col min="2" max="2" width="9.7265625" customWidth="1"/>
    <col min="3" max="3" width="15.90625" bestFit="1" customWidth="1"/>
    <col min="4" max="4" width="10.6328125" customWidth="1"/>
    <col min="5" max="5" width="22.08984375" bestFit="1" customWidth="1"/>
    <col min="6" max="6" width="19.26953125" customWidth="1"/>
    <col min="7" max="7" width="11.08984375" customWidth="1"/>
    <col min="8" max="8" width="15.90625" bestFit="1" customWidth="1"/>
    <col min="9" max="9" width="16" customWidth="1"/>
    <col min="10" max="10" width="17.81640625" customWidth="1"/>
    <col min="11" max="11" width="23.08984375" customWidth="1"/>
    <col min="12" max="12" width="9" customWidth="1"/>
    <col min="13" max="13" width="12.08984375" customWidth="1"/>
    <col min="14" max="14" width="16" customWidth="1"/>
    <col min="15" max="15" width="9.81640625" customWidth="1"/>
    <col min="16" max="16" width="23" bestFit="1" customWidth="1"/>
    <col min="17" max="17" width="15.1796875" customWidth="1"/>
    <col min="18" max="18" width="13.90625" customWidth="1"/>
    <col min="19" max="19" width="16" customWidth="1"/>
    <col min="20" max="20" width="13.54296875" customWidth="1"/>
    <col min="21" max="21" width="22.7265625" customWidth="1"/>
    <col min="22" max="22" width="8.81640625" customWidth="1"/>
    <col min="23" max="23" width="10.90625" customWidth="1"/>
    <col min="24" max="24" width="17.7265625" customWidth="1"/>
    <col min="25" max="25" width="18.7265625" customWidth="1"/>
    <col min="26" max="26" width="22.6328125" customWidth="1"/>
    <col min="27" max="27" width="15.36328125" customWidth="1"/>
    <col min="28" max="28" width="17.08984375" customWidth="1"/>
    <col min="29" max="29" width="18.54296875" customWidth="1"/>
    <col min="30" max="30" width="21.453125" customWidth="1"/>
    <col min="31" max="31" width="16.7265625" customWidth="1"/>
    <col min="32" max="32" width="17.08984375" customWidth="1"/>
    <col min="33" max="33" width="19" customWidth="1"/>
    <col min="34" max="34" width="23.7265625" customWidth="1"/>
    <col min="35" max="35" width="22.453125" customWidth="1"/>
    <col min="36" max="36" width="14.36328125" bestFit="1" customWidth="1"/>
    <col min="37" max="37" width="15.542968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67</v>
      </c>
    </row>
    <row r="2" spans="1:37" x14ac:dyDescent="0.35">
      <c r="A2" s="17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VLOOKUP(A2,Assets!$B$7:$C$11,2,TRUE)</f>
        <v>36 to 45 years old</v>
      </c>
      <c r="AK2" t="str">
        <f>VLOOKUP(S2,Assets!$B$11:$C$26,2,TRUE)</f>
        <v>$3.001 to $7.000</v>
      </c>
    </row>
    <row r="3" spans="1:37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VLOOKUP(A3,Assets!$B$7:$C$11,2,TRUE)</f>
        <v>46 to 55 years old</v>
      </c>
      <c r="AK3" t="str">
        <f>VLOOKUP(S3,Assets!$B$11:$C$26,2,TRUE)</f>
        <v>$3.001 to $7.000</v>
      </c>
    </row>
    <row r="4" spans="1:37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VLOOKUP(A4,Assets!$B$7:$C$11,2,TRUE)</f>
        <v>36 to 45 years old</v>
      </c>
      <c r="AK4" t="str">
        <f>VLOOKUP(S4,Assets!$B$11:$C$26,2,TRUE)</f>
        <v>Up to $3.000</v>
      </c>
    </row>
    <row r="5" spans="1:37" x14ac:dyDescent="0.35">
      <c r="A5" s="17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VLOOKUP(A5,Assets!$B$7:$C$11,2,TRUE)</f>
        <v>26 to 35 years old</v>
      </c>
      <c r="AK5" t="str">
        <f>VLOOKUP(S5,Assets!$B$11:$C$26,2,TRUE)</f>
        <v>Up to $3.000</v>
      </c>
    </row>
    <row r="6" spans="1:37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VLOOKUP(A6,Assets!$B$7:$C$11,2,TRUE)</f>
        <v>26 to 35 years old</v>
      </c>
      <c r="AK6" t="str">
        <f>VLOOKUP(S6,Assets!$B$11:$C$26,2,TRUE)</f>
        <v>$3.001 to $7.000</v>
      </c>
    </row>
    <row r="7" spans="1:37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VLOOKUP(A7,Assets!$B$7:$C$11,2,TRUE)</f>
        <v>26 to 35 years old</v>
      </c>
      <c r="AK7" t="str">
        <f>VLOOKUP(S7,Assets!$B$11:$C$26,2,TRUE)</f>
        <v>$3.001 to $7.000</v>
      </c>
    </row>
    <row r="8" spans="1:37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VLOOKUP(A8,Assets!$B$7:$C$11,2,TRUE)</f>
        <v>56 years or older</v>
      </c>
      <c r="AK8" t="str">
        <f>VLOOKUP(S8,Assets!$B$11:$C$26,2,TRUE)</f>
        <v>Up to $3.000</v>
      </c>
    </row>
    <row r="9" spans="1:37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VLOOKUP(A9,Assets!$B$7:$C$11,2,TRUE)</f>
        <v>26 to 35 years old</v>
      </c>
      <c r="AK9" t="str">
        <f>VLOOKUP(S9,Assets!$B$11:$C$26,2,TRUE)</f>
        <v>Up to $3.000</v>
      </c>
    </row>
    <row r="10" spans="1:37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VLOOKUP(A10,Assets!$B$7:$C$11,2,TRUE)</f>
        <v>36 to 45 years old</v>
      </c>
      <c r="AK10" t="str">
        <f>VLOOKUP(S10,Assets!$B$11:$C$26,2,TRUE)</f>
        <v>$7.001 to $12.000</v>
      </c>
    </row>
    <row r="11" spans="1:37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VLOOKUP(A11,Assets!$B$7:$C$11,2,TRUE)</f>
        <v>36 to 45 years old</v>
      </c>
      <c r="AK11" t="str">
        <f>VLOOKUP(S11,Assets!$B$11:$C$26,2,TRUE)</f>
        <v>$3.001 to $7.000</v>
      </c>
    </row>
    <row r="12" spans="1:37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VLOOKUP(A12,Assets!$B$7:$C$11,2,TRUE)</f>
        <v>26 to 35 years old</v>
      </c>
      <c r="AK12" t="str">
        <f>VLOOKUP(S12,Assets!$B$11:$C$26,2,TRUE)</f>
        <v>Up to $3.000</v>
      </c>
    </row>
    <row r="13" spans="1:37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VLOOKUP(A13,Assets!$B$7:$C$11,2,TRUE)</f>
        <v>26 to 35 years old</v>
      </c>
      <c r="AK13" t="str">
        <f>VLOOKUP(S13,Assets!$B$11:$C$26,2,TRUE)</f>
        <v>$3.001 to $7.000</v>
      </c>
    </row>
    <row r="14" spans="1:37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VLOOKUP(A14,Assets!$B$7:$C$11,2,TRUE)</f>
        <v>26 to 35 years old</v>
      </c>
      <c r="AK14" t="str">
        <f>VLOOKUP(S14,Assets!$B$11:$C$26,2,TRUE)</f>
        <v>Up to $3.000</v>
      </c>
    </row>
    <row r="15" spans="1:37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VLOOKUP(A15,Assets!$B$7:$C$11,2,TRUE)</f>
        <v>26 to 35 years old</v>
      </c>
      <c r="AK15" t="str">
        <f>VLOOKUP(S15,Assets!$B$11:$C$26,2,TRUE)</f>
        <v>Up to $3.000</v>
      </c>
    </row>
    <row r="16" spans="1:37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VLOOKUP(A16,Assets!$B$7:$C$11,2,TRUE)</f>
        <v>26 to 35 years old</v>
      </c>
      <c r="AK16" t="str">
        <f>VLOOKUP(S16,Assets!$B$11:$C$26,2,TRUE)</f>
        <v>Up to $3.000</v>
      </c>
    </row>
    <row r="17" spans="1:37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VLOOKUP(A17,Assets!$B$7:$C$11,2,TRUE)</f>
        <v>26 to 35 years old</v>
      </c>
      <c r="AK17" t="str">
        <f>VLOOKUP(S17,Assets!$B$11:$C$26,2,TRUE)</f>
        <v>$7.001 to $12.000</v>
      </c>
    </row>
    <row r="18" spans="1:37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VLOOKUP(A18,Assets!$B$7:$C$11,2,TRUE)</f>
        <v>26 to 35 years old</v>
      </c>
      <c r="AK18" t="str">
        <f>VLOOKUP(S18,Assets!$B$11:$C$26,2,TRUE)</f>
        <v>$3.001 to $7.000</v>
      </c>
    </row>
    <row r="19" spans="1:37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VLOOKUP(A19,Assets!$B$7:$C$11,2,TRUE)</f>
        <v>18 to 25 years old</v>
      </c>
      <c r="AK19" t="str">
        <f>VLOOKUP(S19,Assets!$B$11:$C$26,2,TRUE)</f>
        <v>Up to $3.000</v>
      </c>
    </row>
    <row r="20" spans="1:37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VLOOKUP(A20,Assets!$B$7:$C$11,2,TRUE)</f>
        <v>46 to 55 years old</v>
      </c>
      <c r="AK20" t="str">
        <f>VLOOKUP(S20,Assets!$B$11:$C$26,2,TRUE)</f>
        <v>Over $12.000</v>
      </c>
    </row>
    <row r="21" spans="1:37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VLOOKUP(A21,Assets!$B$7:$C$11,2,TRUE)</f>
        <v>36 to 45 years old</v>
      </c>
      <c r="AK21" t="str">
        <f>VLOOKUP(S21,Assets!$B$11:$C$26,2,TRUE)</f>
        <v>$3.001 to $7.000</v>
      </c>
    </row>
    <row r="22" spans="1:37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VLOOKUP(A22,Assets!$B$7:$C$11,2,TRUE)</f>
        <v>18 to 25 years old</v>
      </c>
      <c r="AK22" t="str">
        <f>VLOOKUP(S22,Assets!$B$11:$C$26,2,TRUE)</f>
        <v>$3.001 to $7.000</v>
      </c>
    </row>
    <row r="23" spans="1:37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VLOOKUP(A23,Assets!$B$7:$C$11,2,TRUE)</f>
        <v>36 to 45 years old</v>
      </c>
      <c r="AK23" t="str">
        <f>VLOOKUP(S23,Assets!$B$11:$C$26,2,TRUE)</f>
        <v>$3.001 to $7.000</v>
      </c>
    </row>
    <row r="24" spans="1:37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VLOOKUP(A24,Assets!$B$7:$C$11,2,TRUE)</f>
        <v>26 to 35 years old</v>
      </c>
      <c r="AK24" t="str">
        <f>VLOOKUP(S24,Assets!$B$11:$C$26,2,TRUE)</f>
        <v>$7.001 to $12.000</v>
      </c>
    </row>
    <row r="25" spans="1:37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VLOOKUP(A25,Assets!$B$7:$C$11,2,TRUE)</f>
        <v>18 to 25 years old</v>
      </c>
      <c r="AK25" t="str">
        <f>VLOOKUP(S25,Assets!$B$11:$C$26,2,TRUE)</f>
        <v>Up to $3.000</v>
      </c>
    </row>
    <row r="26" spans="1:37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VLOOKUP(A26,Assets!$B$7:$C$11,2,TRUE)</f>
        <v>26 to 35 years old</v>
      </c>
      <c r="AK26" t="str">
        <f>VLOOKUP(S26,Assets!$B$11:$C$26,2,TRUE)</f>
        <v>Up to $3.000</v>
      </c>
    </row>
    <row r="27" spans="1:37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VLOOKUP(A27,Assets!$B$7:$C$11,2,TRUE)</f>
        <v>46 to 55 years old</v>
      </c>
      <c r="AK27" t="str">
        <f>VLOOKUP(S27,Assets!$B$11:$C$26,2,TRUE)</f>
        <v>Over $12.000</v>
      </c>
    </row>
    <row r="28" spans="1:37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VLOOKUP(A28,Assets!$B$7:$C$11,2,TRUE)</f>
        <v>26 to 35 years old</v>
      </c>
      <c r="AK28" t="str">
        <f>VLOOKUP(S28,Assets!$B$11:$C$26,2,TRUE)</f>
        <v>$3.001 to $7.000</v>
      </c>
    </row>
    <row r="29" spans="1:37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VLOOKUP(A29,Assets!$B$7:$C$11,2,TRUE)</f>
        <v>36 to 45 years old</v>
      </c>
      <c r="AK29" t="str">
        <f>VLOOKUP(S29,Assets!$B$11:$C$26,2,TRUE)</f>
        <v>$3.001 to $7.000</v>
      </c>
    </row>
    <row r="30" spans="1:37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VLOOKUP(A30,Assets!$B$7:$C$11,2,TRUE)</f>
        <v>36 to 45 years old</v>
      </c>
      <c r="AK30" t="str">
        <f>VLOOKUP(S30,Assets!$B$11:$C$26,2,TRUE)</f>
        <v>$7.001 to $12.000</v>
      </c>
    </row>
    <row r="31" spans="1:37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VLOOKUP(A31,Assets!$B$7:$C$11,2,TRUE)</f>
        <v>46 to 55 years old</v>
      </c>
      <c r="AK31" t="str">
        <f>VLOOKUP(S31,Assets!$B$11:$C$26,2,TRUE)</f>
        <v>Over $12.000</v>
      </c>
    </row>
    <row r="32" spans="1:37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VLOOKUP(A32,Assets!$B$7:$C$11,2,TRUE)</f>
        <v>26 to 35 years old</v>
      </c>
      <c r="AK32" t="str">
        <f>VLOOKUP(S32,Assets!$B$11:$C$26,2,TRUE)</f>
        <v>Up to $3.000</v>
      </c>
    </row>
    <row r="33" spans="1:3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VLOOKUP(A33,Assets!$B$7:$C$11,2,TRUE)</f>
        <v>36 to 45 years old</v>
      </c>
      <c r="AK33" t="str">
        <f>VLOOKUP(S33,Assets!$B$11:$C$26,2,TRUE)</f>
        <v>$3.001 to $7.000</v>
      </c>
    </row>
    <row r="34" spans="1:3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VLOOKUP(A34,Assets!$B$7:$C$11,2,TRUE)</f>
        <v>26 to 35 years old</v>
      </c>
      <c r="AK34" t="str">
        <f>VLOOKUP(S34,Assets!$B$11:$C$26,2,TRUE)</f>
        <v>Up to $3.000</v>
      </c>
    </row>
    <row r="35" spans="1:3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VLOOKUP(A35,Assets!$B$7:$C$11,2,TRUE)</f>
        <v>36 to 45 years old</v>
      </c>
      <c r="AK35" t="str">
        <f>VLOOKUP(S35,Assets!$B$11:$C$26,2,TRUE)</f>
        <v>Up to $3.000</v>
      </c>
    </row>
    <row r="36" spans="1:3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VLOOKUP(A36,Assets!$B$7:$C$11,2,TRUE)</f>
        <v>18 to 25 years old</v>
      </c>
      <c r="AK36" t="str">
        <f>VLOOKUP(S36,Assets!$B$11:$C$26,2,TRUE)</f>
        <v>Up to $3.000</v>
      </c>
    </row>
    <row r="37" spans="1:3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VLOOKUP(A37,Assets!$B$7:$C$11,2,TRUE)</f>
        <v>36 to 45 years old</v>
      </c>
      <c r="AK37" t="str">
        <f>VLOOKUP(S37,Assets!$B$11:$C$26,2,TRUE)</f>
        <v>Up to $3.000</v>
      </c>
    </row>
    <row r="38" spans="1:3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VLOOKUP(A38,Assets!$B$7:$C$11,2,TRUE)</f>
        <v>46 to 55 years old</v>
      </c>
      <c r="AK38" t="str">
        <f>VLOOKUP(S38,Assets!$B$11:$C$26,2,TRUE)</f>
        <v>Up to $3.000</v>
      </c>
    </row>
    <row r="39" spans="1:3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VLOOKUP(A39,Assets!$B$7:$C$11,2,TRUE)</f>
        <v>26 to 35 years old</v>
      </c>
      <c r="AK39" t="str">
        <f>VLOOKUP(S39,Assets!$B$11:$C$26,2,TRUE)</f>
        <v>Up to $3.000</v>
      </c>
    </row>
    <row r="40" spans="1:3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VLOOKUP(A40,Assets!$B$7:$C$11,2,TRUE)</f>
        <v>36 to 45 years old</v>
      </c>
      <c r="AK40" t="str">
        <f>VLOOKUP(S40,Assets!$B$11:$C$26,2,TRUE)</f>
        <v>$3.001 to $7.000</v>
      </c>
    </row>
    <row r="41" spans="1:3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VLOOKUP(A41,Assets!$B$7:$C$11,2,TRUE)</f>
        <v>26 to 35 years old</v>
      </c>
      <c r="AK41" t="str">
        <f>VLOOKUP(S41,Assets!$B$11:$C$26,2,TRUE)</f>
        <v>$3.001 to $7.000</v>
      </c>
    </row>
    <row r="42" spans="1:3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VLOOKUP(A42,Assets!$B$7:$C$11,2,TRUE)</f>
        <v>26 to 35 years old</v>
      </c>
      <c r="AK42" t="str">
        <f>VLOOKUP(S42,Assets!$B$11:$C$26,2,TRUE)</f>
        <v>Up to $3.000</v>
      </c>
    </row>
    <row r="43" spans="1:3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VLOOKUP(A43,Assets!$B$7:$C$11,2,TRUE)</f>
        <v>26 to 35 years old</v>
      </c>
      <c r="AK43" t="str">
        <f>VLOOKUP(S43,Assets!$B$11:$C$26,2,TRUE)</f>
        <v>Up to $3.000</v>
      </c>
    </row>
    <row r="44" spans="1:3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VLOOKUP(A44,Assets!$B$7:$C$11,2,TRUE)</f>
        <v>26 to 35 years old</v>
      </c>
      <c r="AK44" t="str">
        <f>VLOOKUP(S44,Assets!$B$11:$C$26,2,TRUE)</f>
        <v>Up to $3.000</v>
      </c>
    </row>
    <row r="45" spans="1:3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VLOOKUP(A45,Assets!$B$7:$C$11,2,TRUE)</f>
        <v>26 to 35 years old</v>
      </c>
      <c r="AK45" t="str">
        <f>VLOOKUP(S45,Assets!$B$11:$C$26,2,TRUE)</f>
        <v>$7.001 to $12.000</v>
      </c>
    </row>
    <row r="46" spans="1:3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VLOOKUP(A46,Assets!$B$7:$C$11,2,TRUE)</f>
        <v>26 to 35 years old</v>
      </c>
      <c r="AK46" t="str">
        <f>VLOOKUP(S46,Assets!$B$11:$C$26,2,TRUE)</f>
        <v>$3.001 to $7.000</v>
      </c>
    </row>
    <row r="47" spans="1:3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VLOOKUP(A47,Assets!$B$7:$C$11,2,TRUE)</f>
        <v>36 to 45 years old</v>
      </c>
      <c r="AK47" t="str">
        <f>VLOOKUP(S47,Assets!$B$11:$C$26,2,TRUE)</f>
        <v>Over $12.000</v>
      </c>
    </row>
    <row r="48" spans="1:37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VLOOKUP(A48,Assets!$B$7:$C$11,2,TRUE)</f>
        <v>26 to 35 years old</v>
      </c>
      <c r="AK48" t="str">
        <f>VLOOKUP(S48,Assets!$B$11:$C$26,2,TRUE)</f>
        <v>$3.001 to $7.000</v>
      </c>
    </row>
    <row r="49" spans="1:37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VLOOKUP(A49,Assets!$B$7:$C$11,2,TRUE)</f>
        <v>36 to 45 years old</v>
      </c>
      <c r="AK49" t="str">
        <f>VLOOKUP(S49,Assets!$B$11:$C$26,2,TRUE)</f>
        <v>$3.001 to $7.000</v>
      </c>
    </row>
    <row r="50" spans="1:37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VLOOKUP(A50,Assets!$B$7:$C$11,2,TRUE)</f>
        <v>46 to 55 years old</v>
      </c>
      <c r="AK50" t="str">
        <f>VLOOKUP(S50,Assets!$B$11:$C$26,2,TRUE)</f>
        <v>$3.001 to $7.000</v>
      </c>
    </row>
    <row r="51" spans="1:37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VLOOKUP(A51,Assets!$B$7:$C$11,2,TRUE)</f>
        <v>26 to 35 years old</v>
      </c>
      <c r="AK51" t="str">
        <f>VLOOKUP(S51,Assets!$B$11:$C$26,2,TRUE)</f>
        <v>Up to $3.000</v>
      </c>
    </row>
    <row r="52" spans="1:37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VLOOKUP(A52,Assets!$B$7:$C$11,2,TRUE)</f>
        <v>46 to 55 years old</v>
      </c>
      <c r="AK52" t="str">
        <f>VLOOKUP(S52,Assets!$B$11:$C$26,2,TRUE)</f>
        <v>$3.001 to $7.000</v>
      </c>
    </row>
    <row r="53" spans="1:37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VLOOKUP(A53,Assets!$B$7:$C$11,2,TRUE)</f>
        <v>26 to 35 years old</v>
      </c>
      <c r="AK53" t="str">
        <f>VLOOKUP(S53,Assets!$B$11:$C$26,2,TRUE)</f>
        <v>$3.001 to $7.000</v>
      </c>
    </row>
    <row r="54" spans="1:37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VLOOKUP(A54,Assets!$B$7:$C$11,2,TRUE)</f>
        <v>36 to 45 years old</v>
      </c>
      <c r="AK54" t="str">
        <f>VLOOKUP(S54,Assets!$B$11:$C$26,2,TRUE)</f>
        <v>$3.001 to $7.000</v>
      </c>
    </row>
    <row r="55" spans="1:37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VLOOKUP(A55,Assets!$B$7:$C$11,2,TRUE)</f>
        <v>26 to 35 years old</v>
      </c>
      <c r="AK55" t="str">
        <f>VLOOKUP(S55,Assets!$B$11:$C$26,2,TRUE)</f>
        <v>$7.001 to $12.000</v>
      </c>
    </row>
    <row r="56" spans="1:37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VLOOKUP(A56,Assets!$B$7:$C$11,2,TRUE)</f>
        <v>26 to 35 years old</v>
      </c>
      <c r="AK56" t="str">
        <f>VLOOKUP(S56,Assets!$B$11:$C$26,2,TRUE)</f>
        <v>$3.001 to $7.000</v>
      </c>
    </row>
    <row r="57" spans="1:37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VLOOKUP(A57,Assets!$B$7:$C$11,2,TRUE)</f>
        <v>26 to 35 years old</v>
      </c>
      <c r="AK57" t="str">
        <f>VLOOKUP(S57,Assets!$B$11:$C$26,2,TRUE)</f>
        <v>Over $12.000</v>
      </c>
    </row>
    <row r="58" spans="1:37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VLOOKUP(A58,Assets!$B$7:$C$11,2,TRUE)</f>
        <v>26 to 35 years old</v>
      </c>
      <c r="AK58" t="str">
        <f>VLOOKUP(S58,Assets!$B$11:$C$26,2,TRUE)</f>
        <v>$7.001 to $12.000</v>
      </c>
    </row>
    <row r="59" spans="1:37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VLOOKUP(A59,Assets!$B$7:$C$11,2,TRUE)</f>
        <v>26 to 35 years old</v>
      </c>
      <c r="AK59" t="str">
        <f>VLOOKUP(S59,Assets!$B$11:$C$26,2,TRUE)</f>
        <v>$3.001 to $7.000</v>
      </c>
    </row>
    <row r="60" spans="1:37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VLOOKUP(A60,Assets!$B$7:$C$11,2,TRUE)</f>
        <v>26 to 35 years old</v>
      </c>
      <c r="AK60" t="str">
        <f>VLOOKUP(S60,Assets!$B$11:$C$26,2,TRUE)</f>
        <v>$3.001 to $7.000</v>
      </c>
    </row>
    <row r="61" spans="1:37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VLOOKUP(A61,Assets!$B$7:$C$11,2,TRUE)</f>
        <v>36 to 45 years old</v>
      </c>
      <c r="AK61" t="str">
        <f>VLOOKUP(S61,Assets!$B$11:$C$26,2,TRUE)</f>
        <v>$3.001 to $7.000</v>
      </c>
    </row>
    <row r="62" spans="1:37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VLOOKUP(A62,Assets!$B$7:$C$11,2,TRUE)</f>
        <v>26 to 35 years old</v>
      </c>
      <c r="AK62" t="str">
        <f>VLOOKUP(S62,Assets!$B$11:$C$26,2,TRUE)</f>
        <v>$3.001 to $7.000</v>
      </c>
    </row>
    <row r="63" spans="1:37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VLOOKUP(A63,Assets!$B$7:$C$11,2,TRUE)</f>
        <v>36 to 45 years old</v>
      </c>
      <c r="AK63" t="str">
        <f>VLOOKUP(S63,Assets!$B$11:$C$26,2,TRUE)</f>
        <v>Up to $3.000</v>
      </c>
    </row>
    <row r="64" spans="1:37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VLOOKUP(A64,Assets!$B$7:$C$11,2,TRUE)</f>
        <v>46 to 55 years old</v>
      </c>
      <c r="AK64" t="str">
        <f>VLOOKUP(S64,Assets!$B$11:$C$26,2,TRUE)</f>
        <v>Over $12.000</v>
      </c>
    </row>
    <row r="65" spans="1:37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VLOOKUP(A65,Assets!$B$7:$C$11,2,TRUE)</f>
        <v>56 years or older</v>
      </c>
      <c r="AK65" t="str">
        <f>VLOOKUP(S65,Assets!$B$11:$C$26,2,TRUE)</f>
        <v>$7.001 to $12.000</v>
      </c>
    </row>
    <row r="66" spans="1:37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VLOOKUP(A66,Assets!$B$7:$C$11,2,TRUE)</f>
        <v>36 to 45 years old</v>
      </c>
      <c r="AK66" t="str">
        <f>VLOOKUP(S66,Assets!$B$11:$C$26,2,TRUE)</f>
        <v>$7.001 to $12.000</v>
      </c>
    </row>
    <row r="67" spans="1:37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VLOOKUP(A67,Assets!$B$7:$C$11,2,TRUE)</f>
        <v>46 to 55 years old</v>
      </c>
      <c r="AK67" t="str">
        <f>VLOOKUP(S67,Assets!$B$11:$C$26,2,TRUE)</f>
        <v>Over $12.000</v>
      </c>
    </row>
    <row r="68" spans="1:37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VLOOKUP(A68,Assets!$B$7:$C$11,2,TRUE)</f>
        <v>36 to 45 years old</v>
      </c>
      <c r="AK68" t="str">
        <f>VLOOKUP(S68,Assets!$B$11:$C$26,2,TRUE)</f>
        <v>$3.001 to $7.000</v>
      </c>
    </row>
    <row r="69" spans="1:37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VLOOKUP(A69,Assets!$B$7:$C$11,2,TRUE)</f>
        <v>36 to 45 years old</v>
      </c>
      <c r="AK69" t="str">
        <f>VLOOKUP(S69,Assets!$B$11:$C$26,2,TRUE)</f>
        <v>$7.001 to $12.000</v>
      </c>
    </row>
    <row r="70" spans="1:37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VLOOKUP(A70,Assets!$B$7:$C$11,2,TRUE)</f>
        <v>26 to 35 years old</v>
      </c>
      <c r="AK70" t="str">
        <f>VLOOKUP(S70,Assets!$B$11:$C$26,2,TRUE)</f>
        <v>Up to $3.000</v>
      </c>
    </row>
    <row r="71" spans="1:37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VLOOKUP(A71,Assets!$B$7:$C$11,2,TRUE)</f>
        <v>36 to 45 years old</v>
      </c>
      <c r="AK71" t="str">
        <f>VLOOKUP(S71,Assets!$B$11:$C$26,2,TRUE)</f>
        <v>$3.001 to $7.000</v>
      </c>
    </row>
    <row r="72" spans="1:37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VLOOKUP(A72,Assets!$B$7:$C$11,2,TRUE)</f>
        <v>56 years or older</v>
      </c>
      <c r="AK72" t="str">
        <f>VLOOKUP(S72,Assets!$B$11:$C$26,2,TRUE)</f>
        <v>$3.001 to $7.000</v>
      </c>
    </row>
    <row r="73" spans="1:37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VLOOKUP(A73,Assets!$B$7:$C$11,2,TRUE)</f>
        <v>26 to 35 years old</v>
      </c>
      <c r="AK73" t="str">
        <f>VLOOKUP(S73,Assets!$B$11:$C$26,2,TRUE)</f>
        <v>Up to $3.000</v>
      </c>
    </row>
    <row r="74" spans="1:37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VLOOKUP(A74,Assets!$B$7:$C$11,2,TRUE)</f>
        <v>26 to 35 years old</v>
      </c>
      <c r="AK74" t="str">
        <f>VLOOKUP(S74,Assets!$B$11:$C$26,2,TRUE)</f>
        <v>Up to $3.000</v>
      </c>
    </row>
    <row r="75" spans="1:37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VLOOKUP(A75,Assets!$B$7:$C$11,2,TRUE)</f>
        <v>26 to 35 years old</v>
      </c>
      <c r="AK75" t="str">
        <f>VLOOKUP(S75,Assets!$B$11:$C$26,2,TRUE)</f>
        <v>$3.001 to $7.000</v>
      </c>
    </row>
    <row r="76" spans="1:37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VLOOKUP(A76,Assets!$B$7:$C$11,2,TRUE)</f>
        <v>36 to 45 years old</v>
      </c>
      <c r="AK76" t="str">
        <f>VLOOKUP(S76,Assets!$B$11:$C$26,2,TRUE)</f>
        <v>$3.001 to $7.000</v>
      </c>
    </row>
    <row r="77" spans="1:37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VLOOKUP(A77,Assets!$B$7:$C$11,2,TRUE)</f>
        <v>26 to 35 years old</v>
      </c>
      <c r="AK77" t="str">
        <f>VLOOKUP(S77,Assets!$B$11:$C$26,2,TRUE)</f>
        <v>$3.001 to $7.000</v>
      </c>
    </row>
    <row r="78" spans="1:37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VLOOKUP(A78,Assets!$B$7:$C$11,2,TRUE)</f>
        <v>26 to 35 years old</v>
      </c>
      <c r="AK78" t="str">
        <f>VLOOKUP(S78,Assets!$B$11:$C$26,2,TRUE)</f>
        <v>$3.001 to $7.000</v>
      </c>
    </row>
    <row r="79" spans="1:37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VLOOKUP(A79,Assets!$B$7:$C$11,2,TRUE)</f>
        <v>36 to 45 years old</v>
      </c>
      <c r="AK79" t="str">
        <f>VLOOKUP(S79,Assets!$B$11:$C$26,2,TRUE)</f>
        <v>Over $12.000</v>
      </c>
    </row>
    <row r="80" spans="1:37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VLOOKUP(A80,Assets!$B$7:$C$11,2,TRUE)</f>
        <v>36 to 45 years old</v>
      </c>
      <c r="AK80" t="str">
        <f>VLOOKUP(S80,Assets!$B$11:$C$26,2,TRUE)</f>
        <v>Over $12.000</v>
      </c>
    </row>
    <row r="81" spans="1:37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VLOOKUP(A81,Assets!$B$7:$C$11,2,TRUE)</f>
        <v>46 to 55 years old</v>
      </c>
      <c r="AK81" t="str">
        <f>VLOOKUP(S81,Assets!$B$11:$C$26,2,TRUE)</f>
        <v>$3.001 to $7.000</v>
      </c>
    </row>
    <row r="82" spans="1:37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VLOOKUP(A82,Assets!$B$7:$C$11,2,TRUE)</f>
        <v>26 to 35 years old</v>
      </c>
      <c r="AK82" t="str">
        <f>VLOOKUP(S82,Assets!$B$11:$C$26,2,TRUE)</f>
        <v>$3.001 to $7.000</v>
      </c>
    </row>
    <row r="83" spans="1:37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VLOOKUP(A83,Assets!$B$7:$C$11,2,TRUE)</f>
        <v>26 to 35 years old</v>
      </c>
      <c r="AK83" t="str">
        <f>VLOOKUP(S83,Assets!$B$11:$C$26,2,TRUE)</f>
        <v>Up to $3.000</v>
      </c>
    </row>
    <row r="84" spans="1:37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VLOOKUP(A84,Assets!$B$7:$C$11,2,TRUE)</f>
        <v>46 to 55 years old</v>
      </c>
      <c r="AK84" t="str">
        <f>VLOOKUP(S84,Assets!$B$11:$C$26,2,TRUE)</f>
        <v>$7.001 to $12.000</v>
      </c>
    </row>
    <row r="85" spans="1:37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VLOOKUP(A85,Assets!$B$7:$C$11,2,TRUE)</f>
        <v>36 to 45 years old</v>
      </c>
      <c r="AK85" t="str">
        <f>VLOOKUP(S85,Assets!$B$11:$C$26,2,TRUE)</f>
        <v>$3.001 to $7.000</v>
      </c>
    </row>
    <row r="86" spans="1:37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VLOOKUP(A86,Assets!$B$7:$C$11,2,TRUE)</f>
        <v>26 to 35 years old</v>
      </c>
      <c r="AK86" t="str">
        <f>VLOOKUP(S86,Assets!$B$11:$C$26,2,TRUE)</f>
        <v>$3.001 to $7.000</v>
      </c>
    </row>
    <row r="87" spans="1:37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VLOOKUP(A87,Assets!$B$7:$C$11,2,TRUE)</f>
        <v>56 years or older</v>
      </c>
      <c r="AK87" t="str">
        <f>VLOOKUP(S87,Assets!$B$11:$C$26,2,TRUE)</f>
        <v>$7.001 to $12.000</v>
      </c>
    </row>
    <row r="88" spans="1:37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VLOOKUP(A88,Assets!$B$7:$C$11,2,TRUE)</f>
        <v>18 to 25 years old</v>
      </c>
      <c r="AK88" t="str">
        <f>VLOOKUP(S88,Assets!$B$11:$C$26,2,TRUE)</f>
        <v>Up to $3.000</v>
      </c>
    </row>
    <row r="89" spans="1:37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VLOOKUP(A89,Assets!$B$7:$C$11,2,TRUE)</f>
        <v>46 to 55 years old</v>
      </c>
      <c r="AK89" t="str">
        <f>VLOOKUP(S89,Assets!$B$11:$C$26,2,TRUE)</f>
        <v>Up to $3.000</v>
      </c>
    </row>
    <row r="90" spans="1:37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VLOOKUP(A90,Assets!$B$7:$C$11,2,TRUE)</f>
        <v>26 to 35 years old</v>
      </c>
      <c r="AK90" t="str">
        <f>VLOOKUP(S90,Assets!$B$11:$C$26,2,TRUE)</f>
        <v>$3.001 to $7.000</v>
      </c>
    </row>
    <row r="91" spans="1:37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VLOOKUP(A91,Assets!$B$7:$C$11,2,TRUE)</f>
        <v>46 to 55 years old</v>
      </c>
      <c r="AK91" t="str">
        <f>VLOOKUP(S91,Assets!$B$11:$C$26,2,TRUE)</f>
        <v>$7.001 to $12.000</v>
      </c>
    </row>
    <row r="92" spans="1:37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VLOOKUP(A92,Assets!$B$7:$C$11,2,TRUE)</f>
        <v>36 to 45 years old</v>
      </c>
      <c r="AK92" t="str">
        <f>VLOOKUP(S92,Assets!$B$11:$C$26,2,TRUE)</f>
        <v>Over $12.000</v>
      </c>
    </row>
    <row r="93" spans="1:37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VLOOKUP(A93,Assets!$B$7:$C$11,2,TRUE)</f>
        <v>46 to 55 years old</v>
      </c>
      <c r="AK93" t="str">
        <f>VLOOKUP(S93,Assets!$B$11:$C$26,2,TRUE)</f>
        <v>$3.001 to $7.000</v>
      </c>
    </row>
    <row r="94" spans="1:37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VLOOKUP(A94,Assets!$B$7:$C$11,2,TRUE)</f>
        <v>26 to 35 years old</v>
      </c>
      <c r="AK94" t="str">
        <f>VLOOKUP(S94,Assets!$B$11:$C$26,2,TRUE)</f>
        <v>$3.001 to $7.000</v>
      </c>
    </row>
    <row r="95" spans="1:37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VLOOKUP(A95,Assets!$B$7:$C$11,2,TRUE)</f>
        <v>46 to 55 years old</v>
      </c>
      <c r="AK95" t="str">
        <f>VLOOKUP(S95,Assets!$B$11:$C$26,2,TRUE)</f>
        <v>$7.001 to $12.000</v>
      </c>
    </row>
    <row r="96" spans="1:37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VLOOKUP(A96,Assets!$B$7:$C$11,2,TRUE)</f>
        <v>26 to 35 years old</v>
      </c>
      <c r="AK96" t="str">
        <f>VLOOKUP(S96,Assets!$B$11:$C$26,2,TRUE)</f>
        <v>$3.001 to $7.000</v>
      </c>
    </row>
    <row r="97" spans="1:37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VLOOKUP(A97,Assets!$B$7:$C$11,2,TRUE)</f>
        <v>46 to 55 years old</v>
      </c>
      <c r="AK97" t="str">
        <f>VLOOKUP(S97,Assets!$B$11:$C$26,2,TRUE)</f>
        <v>Over $12.000</v>
      </c>
    </row>
    <row r="98" spans="1:37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VLOOKUP(A98,Assets!$B$7:$C$11,2,TRUE)</f>
        <v>18 to 25 years old</v>
      </c>
      <c r="AK98" t="str">
        <f>VLOOKUP(S98,Assets!$B$11:$C$26,2,TRUE)</f>
        <v>$3.001 to $7.000</v>
      </c>
    </row>
    <row r="99" spans="1:37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VLOOKUP(A99,Assets!$B$7:$C$11,2,TRUE)</f>
        <v>26 to 35 years old</v>
      </c>
      <c r="AK99" t="str">
        <f>VLOOKUP(S99,Assets!$B$11:$C$26,2,TRUE)</f>
        <v>$3.001 to $7.000</v>
      </c>
    </row>
    <row r="100" spans="1:37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VLOOKUP(A100,Assets!$B$7:$C$11,2,TRUE)</f>
        <v>56 years or older</v>
      </c>
      <c r="AK100" t="str">
        <f>VLOOKUP(S100,Assets!$B$11:$C$26,2,TRUE)</f>
        <v>Over $12.000</v>
      </c>
    </row>
    <row r="101" spans="1:37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VLOOKUP(A101,Assets!$B$7:$C$11,2,TRUE)</f>
        <v>36 to 45 years old</v>
      </c>
      <c r="AK101" t="str">
        <f>VLOOKUP(S101,Assets!$B$11:$C$26,2,TRUE)</f>
        <v>Up to $3.000</v>
      </c>
    </row>
    <row r="102" spans="1:37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VLOOKUP(A102,Assets!$B$7:$C$11,2,TRUE)</f>
        <v>36 to 45 years old</v>
      </c>
      <c r="AK102" t="str">
        <f>VLOOKUP(S102,Assets!$B$11:$C$26,2,TRUE)</f>
        <v>Up to $3.000</v>
      </c>
    </row>
    <row r="103" spans="1:37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VLOOKUP(A103,Assets!$B$7:$C$11,2,TRUE)</f>
        <v>26 to 35 years old</v>
      </c>
      <c r="AK103" t="str">
        <f>VLOOKUP(S103,Assets!$B$11:$C$26,2,TRUE)</f>
        <v>Up to $3.000</v>
      </c>
    </row>
    <row r="104" spans="1:37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VLOOKUP(A104,Assets!$B$7:$C$11,2,TRUE)</f>
        <v>18 to 25 years old</v>
      </c>
      <c r="AK104" t="str">
        <f>VLOOKUP(S104,Assets!$B$11:$C$26,2,TRUE)</f>
        <v>Up to $3.000</v>
      </c>
    </row>
    <row r="105" spans="1:37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VLOOKUP(A105,Assets!$B$7:$C$11,2,TRUE)</f>
        <v>26 to 35 years old</v>
      </c>
      <c r="AK105" t="str">
        <f>VLOOKUP(S105,Assets!$B$11:$C$26,2,TRUE)</f>
        <v>$3.001 to $7.000</v>
      </c>
    </row>
    <row r="106" spans="1:37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VLOOKUP(A106,Assets!$B$7:$C$11,2,TRUE)</f>
        <v>36 to 45 years old</v>
      </c>
      <c r="AK106" t="str">
        <f>VLOOKUP(S106,Assets!$B$11:$C$26,2,TRUE)</f>
        <v>$3.001 to $7.000</v>
      </c>
    </row>
    <row r="107" spans="1:37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VLOOKUP(A107,Assets!$B$7:$C$11,2,TRUE)</f>
        <v>56 years or older</v>
      </c>
      <c r="AK107" t="str">
        <f>VLOOKUP(S107,Assets!$B$11:$C$26,2,TRUE)</f>
        <v>Over $12.000</v>
      </c>
    </row>
    <row r="108" spans="1:37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VLOOKUP(A108,Assets!$B$7:$C$11,2,TRUE)</f>
        <v>46 to 55 years old</v>
      </c>
      <c r="AK108" t="str">
        <f>VLOOKUP(S108,Assets!$B$11:$C$26,2,TRUE)</f>
        <v>Over $12.000</v>
      </c>
    </row>
    <row r="109" spans="1:37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VLOOKUP(A109,Assets!$B$7:$C$11,2,TRUE)</f>
        <v>18 to 25 years old</v>
      </c>
      <c r="AK109" t="str">
        <f>VLOOKUP(S109,Assets!$B$11:$C$26,2,TRUE)</f>
        <v>$3.001 to $7.000</v>
      </c>
    </row>
    <row r="110" spans="1:37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VLOOKUP(A110,Assets!$B$7:$C$11,2,TRUE)</f>
        <v>18 to 25 years old</v>
      </c>
      <c r="AK110" t="str">
        <f>VLOOKUP(S110,Assets!$B$11:$C$26,2,TRUE)</f>
        <v>Up to $3.000</v>
      </c>
    </row>
    <row r="111" spans="1:37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VLOOKUP(A111,Assets!$B$7:$C$11,2,TRUE)</f>
        <v>18 to 25 years old</v>
      </c>
      <c r="AK111" t="str">
        <f>VLOOKUP(S111,Assets!$B$11:$C$26,2,TRUE)</f>
        <v>Up to $3.000</v>
      </c>
    </row>
    <row r="112" spans="1:37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VLOOKUP(A112,Assets!$B$7:$C$11,2,TRUE)</f>
        <v>46 to 55 years old</v>
      </c>
      <c r="AK112" t="str">
        <f>VLOOKUP(S112,Assets!$B$11:$C$26,2,TRUE)</f>
        <v>$7.001 to $12.000</v>
      </c>
    </row>
    <row r="113" spans="1:37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VLOOKUP(A113,Assets!$B$7:$C$11,2,TRUE)</f>
        <v>26 to 35 years old</v>
      </c>
      <c r="AK113" t="str">
        <f>VLOOKUP(S113,Assets!$B$11:$C$26,2,TRUE)</f>
        <v>$3.001 to $7.000</v>
      </c>
    </row>
    <row r="114" spans="1:37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VLOOKUP(A114,Assets!$B$7:$C$11,2,TRUE)</f>
        <v>46 to 55 years old</v>
      </c>
      <c r="AK114" t="str">
        <f>VLOOKUP(S114,Assets!$B$11:$C$26,2,TRUE)</f>
        <v>Over $12.000</v>
      </c>
    </row>
    <row r="115" spans="1:37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VLOOKUP(A115,Assets!$B$7:$C$11,2,TRUE)</f>
        <v>18 to 25 years old</v>
      </c>
      <c r="AK115" t="str">
        <f>VLOOKUP(S115,Assets!$B$11:$C$26,2,TRUE)</f>
        <v>Up to $3.000</v>
      </c>
    </row>
    <row r="116" spans="1:37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VLOOKUP(A116,Assets!$B$7:$C$11,2,TRUE)</f>
        <v>26 to 35 years old</v>
      </c>
      <c r="AK116" t="str">
        <f>VLOOKUP(S116,Assets!$B$11:$C$26,2,TRUE)</f>
        <v>$3.001 to $7.000</v>
      </c>
    </row>
    <row r="117" spans="1:37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VLOOKUP(A117,Assets!$B$7:$C$11,2,TRUE)</f>
        <v>36 to 45 years old</v>
      </c>
      <c r="AK117" t="str">
        <f>VLOOKUP(S117,Assets!$B$11:$C$26,2,TRUE)</f>
        <v>$7.001 to $12.000</v>
      </c>
    </row>
    <row r="118" spans="1:37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VLOOKUP(A118,Assets!$B$7:$C$11,2,TRUE)</f>
        <v>26 to 35 years old</v>
      </c>
      <c r="AK118" t="str">
        <f>VLOOKUP(S118,Assets!$B$11:$C$26,2,TRUE)</f>
        <v>$7.001 to $12.000</v>
      </c>
    </row>
    <row r="119" spans="1:37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VLOOKUP(A119,Assets!$B$7:$C$11,2,TRUE)</f>
        <v>36 to 45 years old</v>
      </c>
      <c r="AK119" t="str">
        <f>VLOOKUP(S119,Assets!$B$11:$C$26,2,TRUE)</f>
        <v>$7.001 to $12.000</v>
      </c>
    </row>
    <row r="120" spans="1:37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VLOOKUP(A120,Assets!$B$7:$C$11,2,TRUE)</f>
        <v>36 to 45 years old</v>
      </c>
      <c r="AK120" t="str">
        <f>VLOOKUP(S120,Assets!$B$11:$C$26,2,TRUE)</f>
        <v>Up to $3.000</v>
      </c>
    </row>
    <row r="121" spans="1:37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VLOOKUP(A121,Assets!$B$7:$C$11,2,TRUE)</f>
        <v>36 to 45 years old</v>
      </c>
      <c r="AK121" t="str">
        <f>VLOOKUP(S121,Assets!$B$11:$C$26,2,TRUE)</f>
        <v>Over $12.000</v>
      </c>
    </row>
    <row r="122" spans="1:37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VLOOKUP(A122,Assets!$B$7:$C$11,2,TRUE)</f>
        <v>26 to 35 years old</v>
      </c>
      <c r="AK122" t="str">
        <f>VLOOKUP(S122,Assets!$B$11:$C$26,2,TRUE)</f>
        <v>Up to $3.000</v>
      </c>
    </row>
    <row r="123" spans="1:37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VLOOKUP(A123,Assets!$B$7:$C$11,2,TRUE)</f>
        <v>26 to 35 years old</v>
      </c>
      <c r="AK123" t="str">
        <f>VLOOKUP(S123,Assets!$B$11:$C$26,2,TRUE)</f>
        <v>$3.001 to $7.000</v>
      </c>
    </row>
    <row r="124" spans="1:37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VLOOKUP(A124,Assets!$B$7:$C$11,2,TRUE)</f>
        <v>56 years or older</v>
      </c>
      <c r="AK124" t="str">
        <f>VLOOKUP(S124,Assets!$B$11:$C$26,2,TRUE)</f>
        <v>$3.001 to $7.000</v>
      </c>
    </row>
    <row r="125" spans="1:37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VLOOKUP(A125,Assets!$B$7:$C$11,2,TRUE)</f>
        <v>46 to 55 years old</v>
      </c>
      <c r="AK125" t="str">
        <f>VLOOKUP(S125,Assets!$B$11:$C$26,2,TRUE)</f>
        <v>Over $12.000</v>
      </c>
    </row>
    <row r="126" spans="1:37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VLOOKUP(A126,Assets!$B$7:$C$11,2,TRUE)</f>
        <v>26 to 35 years old</v>
      </c>
      <c r="AK126" t="str">
        <f>VLOOKUP(S126,Assets!$B$11:$C$26,2,TRUE)</f>
        <v>$3.001 to $7.000</v>
      </c>
    </row>
    <row r="127" spans="1:37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VLOOKUP(A127,Assets!$B$7:$C$11,2,TRUE)</f>
        <v>26 to 35 years old</v>
      </c>
      <c r="AK127" t="str">
        <f>VLOOKUP(S127,Assets!$B$11:$C$26,2,TRUE)</f>
        <v>Up to $3.000</v>
      </c>
    </row>
    <row r="128" spans="1:37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VLOOKUP(A128,Assets!$B$7:$C$11,2,TRUE)</f>
        <v>56 years or older</v>
      </c>
      <c r="AK128" t="str">
        <f>VLOOKUP(S128,Assets!$B$11:$C$26,2,TRUE)</f>
        <v>$7.001 to $12.000</v>
      </c>
    </row>
    <row r="129" spans="1:37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VLOOKUP(A129,Assets!$B$7:$C$11,2,TRUE)</f>
        <v>18 to 25 years old</v>
      </c>
      <c r="AK129" t="str">
        <f>VLOOKUP(S129,Assets!$B$11:$C$26,2,TRUE)</f>
        <v>Up to $3.000</v>
      </c>
    </row>
    <row r="130" spans="1:37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VLOOKUP(A130,Assets!$B$7:$C$11,2,TRUE)</f>
        <v>18 to 25 years old</v>
      </c>
      <c r="AK130" t="str">
        <f>VLOOKUP(S130,Assets!$B$11:$C$26,2,TRUE)</f>
        <v>Up to $3.000</v>
      </c>
    </row>
    <row r="131" spans="1:37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VLOOKUP(A131,Assets!$B$7:$C$11,2,TRUE)</f>
        <v>46 to 55 years old</v>
      </c>
      <c r="AK131" t="str">
        <f>VLOOKUP(S131,Assets!$B$11:$C$26,2,TRUE)</f>
        <v>$3.001 to $7.000</v>
      </c>
    </row>
    <row r="132" spans="1:37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VLOOKUP(A132,Assets!$B$7:$C$11,2,TRUE)</f>
        <v>36 to 45 years old</v>
      </c>
      <c r="AK132" t="str">
        <f>VLOOKUP(S132,Assets!$B$11:$C$26,2,TRUE)</f>
        <v>$3.001 to $7.000</v>
      </c>
    </row>
    <row r="133" spans="1:37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VLOOKUP(A133,Assets!$B$7:$C$11,2,TRUE)</f>
        <v>46 to 55 years old</v>
      </c>
      <c r="AK133" t="str">
        <f>VLOOKUP(S133,Assets!$B$11:$C$26,2,TRUE)</f>
        <v>$7.001 to $12.000</v>
      </c>
    </row>
    <row r="134" spans="1:37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VLOOKUP(A134,Assets!$B$7:$C$11,2,TRUE)</f>
        <v>26 to 35 years old</v>
      </c>
      <c r="AK134" t="str">
        <f>VLOOKUP(S134,Assets!$B$11:$C$26,2,TRUE)</f>
        <v>$3.001 to $7.000</v>
      </c>
    </row>
    <row r="135" spans="1:37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VLOOKUP(A135,Assets!$B$7:$C$11,2,TRUE)</f>
        <v>36 to 45 years old</v>
      </c>
      <c r="AK135" t="str">
        <f>VLOOKUP(S135,Assets!$B$11:$C$26,2,TRUE)</f>
        <v>$7.001 to $12.000</v>
      </c>
    </row>
    <row r="136" spans="1:37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VLOOKUP(A136,Assets!$B$7:$C$11,2,TRUE)</f>
        <v>26 to 35 years old</v>
      </c>
      <c r="AK136" t="str">
        <f>VLOOKUP(S136,Assets!$B$11:$C$26,2,TRUE)</f>
        <v>Up to $3.000</v>
      </c>
    </row>
    <row r="137" spans="1:37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VLOOKUP(A137,Assets!$B$7:$C$11,2,TRUE)</f>
        <v>36 to 45 years old</v>
      </c>
      <c r="AK137" t="str">
        <f>VLOOKUP(S137,Assets!$B$11:$C$26,2,TRUE)</f>
        <v>$3.001 to $7.000</v>
      </c>
    </row>
    <row r="138" spans="1:37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VLOOKUP(A138,Assets!$B$7:$C$11,2,TRUE)</f>
        <v>46 to 55 years old</v>
      </c>
      <c r="AK138" t="str">
        <f>VLOOKUP(S138,Assets!$B$11:$C$26,2,TRUE)</f>
        <v>$7.001 to $12.000</v>
      </c>
    </row>
    <row r="139" spans="1:37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VLOOKUP(A139,Assets!$B$7:$C$11,2,TRUE)</f>
        <v>36 to 45 years old</v>
      </c>
      <c r="AK139" t="str">
        <f>VLOOKUP(S139,Assets!$B$11:$C$26,2,TRUE)</f>
        <v>$3.001 to $7.000</v>
      </c>
    </row>
    <row r="140" spans="1:37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VLOOKUP(A140,Assets!$B$7:$C$11,2,TRUE)</f>
        <v>18 to 25 years old</v>
      </c>
      <c r="AK140" t="str">
        <f>VLOOKUP(S140,Assets!$B$11:$C$26,2,TRUE)</f>
        <v>$7.001 to $12.000</v>
      </c>
    </row>
    <row r="141" spans="1:37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VLOOKUP(A141,Assets!$B$7:$C$11,2,TRUE)</f>
        <v>26 to 35 years old</v>
      </c>
      <c r="AK141" t="str">
        <f>VLOOKUP(S141,Assets!$B$11:$C$26,2,TRUE)</f>
        <v>$3.001 to $7.000</v>
      </c>
    </row>
    <row r="142" spans="1:37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VLOOKUP(A142,Assets!$B$7:$C$11,2,TRUE)</f>
        <v>26 to 35 years old</v>
      </c>
      <c r="AK142" t="str">
        <f>VLOOKUP(S142,Assets!$B$11:$C$26,2,TRUE)</f>
        <v>$3.001 to $7.000</v>
      </c>
    </row>
    <row r="143" spans="1:37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VLOOKUP(A143,Assets!$B$7:$C$11,2,TRUE)</f>
        <v>36 to 45 years old</v>
      </c>
      <c r="AK143" t="str">
        <f>VLOOKUP(S143,Assets!$B$11:$C$26,2,TRUE)</f>
        <v>$3.001 to $7.000</v>
      </c>
    </row>
    <row r="144" spans="1:37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VLOOKUP(A144,Assets!$B$7:$C$11,2,TRUE)</f>
        <v>36 to 45 years old</v>
      </c>
      <c r="AK144" t="str">
        <f>VLOOKUP(S144,Assets!$B$11:$C$26,2,TRUE)</f>
        <v>$3.001 to $7.000</v>
      </c>
    </row>
    <row r="145" spans="1:37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VLOOKUP(A145,Assets!$B$7:$C$11,2,TRUE)</f>
        <v>26 to 35 years old</v>
      </c>
      <c r="AK145" t="str">
        <f>VLOOKUP(S145,Assets!$B$11:$C$26,2,TRUE)</f>
        <v>Up to $3.000</v>
      </c>
    </row>
    <row r="146" spans="1:37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VLOOKUP(A146,Assets!$B$7:$C$11,2,TRUE)</f>
        <v>26 to 35 years old</v>
      </c>
      <c r="AK146" t="str">
        <f>VLOOKUP(S146,Assets!$B$11:$C$26,2,TRUE)</f>
        <v>$3.001 to $7.000</v>
      </c>
    </row>
    <row r="147" spans="1:37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VLOOKUP(A147,Assets!$B$7:$C$11,2,TRUE)</f>
        <v>26 to 35 years old</v>
      </c>
      <c r="AK147" t="str">
        <f>VLOOKUP(S147,Assets!$B$11:$C$26,2,TRUE)</f>
        <v>$3.001 to $7.000</v>
      </c>
    </row>
    <row r="148" spans="1:37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VLOOKUP(A148,Assets!$B$7:$C$11,2,TRUE)</f>
        <v>26 to 35 years old</v>
      </c>
      <c r="AK148" t="str">
        <f>VLOOKUP(S148,Assets!$B$11:$C$26,2,TRUE)</f>
        <v>Up to $3.000</v>
      </c>
    </row>
    <row r="149" spans="1:37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VLOOKUP(A149,Assets!$B$7:$C$11,2,TRUE)</f>
        <v>36 to 45 years old</v>
      </c>
      <c r="AK149" t="str">
        <f>VLOOKUP(S149,Assets!$B$11:$C$26,2,TRUE)</f>
        <v>Over $12.000</v>
      </c>
    </row>
    <row r="150" spans="1:37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VLOOKUP(A150,Assets!$B$7:$C$11,2,TRUE)</f>
        <v>36 to 45 years old</v>
      </c>
      <c r="AK150" t="str">
        <f>VLOOKUP(S150,Assets!$B$11:$C$26,2,TRUE)</f>
        <v>Up to $3.000</v>
      </c>
    </row>
    <row r="151" spans="1:37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VLOOKUP(A151,Assets!$B$7:$C$11,2,TRUE)</f>
        <v>18 to 25 years old</v>
      </c>
      <c r="AK151" t="str">
        <f>VLOOKUP(S151,Assets!$B$11:$C$26,2,TRUE)</f>
        <v>Up to $3.000</v>
      </c>
    </row>
    <row r="152" spans="1:37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VLOOKUP(A152,Assets!$B$7:$C$11,2,TRUE)</f>
        <v>36 to 45 years old</v>
      </c>
      <c r="AK152" t="str">
        <f>VLOOKUP(S152,Assets!$B$11:$C$26,2,TRUE)</f>
        <v>$3.001 to $7.000</v>
      </c>
    </row>
    <row r="153" spans="1:37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VLOOKUP(A153,Assets!$B$7:$C$11,2,TRUE)</f>
        <v>26 to 35 years old</v>
      </c>
      <c r="AK153" t="str">
        <f>VLOOKUP(S153,Assets!$B$11:$C$26,2,TRUE)</f>
        <v>$7.001 to $12.000</v>
      </c>
    </row>
    <row r="154" spans="1:37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VLOOKUP(A154,Assets!$B$7:$C$11,2,TRUE)</f>
        <v>46 to 55 years old</v>
      </c>
      <c r="AK154" t="str">
        <f>VLOOKUP(S154,Assets!$B$11:$C$26,2,TRUE)</f>
        <v>Up to $3.000</v>
      </c>
    </row>
    <row r="155" spans="1:37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VLOOKUP(A155,Assets!$B$7:$C$11,2,TRUE)</f>
        <v>36 to 45 years old</v>
      </c>
      <c r="AK155" t="str">
        <f>VLOOKUP(S155,Assets!$B$11:$C$26,2,TRUE)</f>
        <v>Up to $3.000</v>
      </c>
    </row>
    <row r="156" spans="1:37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VLOOKUP(A156,Assets!$B$7:$C$11,2,TRUE)</f>
        <v>26 to 35 years old</v>
      </c>
      <c r="AK156" t="str">
        <f>VLOOKUP(S156,Assets!$B$11:$C$26,2,TRUE)</f>
        <v>$7.001 to $12.000</v>
      </c>
    </row>
    <row r="157" spans="1:37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VLOOKUP(A157,Assets!$B$7:$C$11,2,TRUE)</f>
        <v>26 to 35 years old</v>
      </c>
      <c r="AK157" t="str">
        <f>VLOOKUP(S157,Assets!$B$11:$C$26,2,TRUE)</f>
        <v>$3.001 to $7.000</v>
      </c>
    </row>
    <row r="158" spans="1:37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VLOOKUP(A158,Assets!$B$7:$C$11,2,TRUE)</f>
        <v>46 to 55 years old</v>
      </c>
      <c r="AK158" t="str">
        <f>VLOOKUP(S158,Assets!$B$11:$C$26,2,TRUE)</f>
        <v>$3.001 to $7.000</v>
      </c>
    </row>
    <row r="159" spans="1:37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VLOOKUP(A159,Assets!$B$7:$C$11,2,TRUE)</f>
        <v>56 years or older</v>
      </c>
      <c r="AK159" t="str">
        <f>VLOOKUP(S159,Assets!$B$11:$C$26,2,TRUE)</f>
        <v>$3.001 to $7.000</v>
      </c>
    </row>
    <row r="160" spans="1:37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VLOOKUP(A160,Assets!$B$7:$C$11,2,TRUE)</f>
        <v>36 to 45 years old</v>
      </c>
      <c r="AK160" t="str">
        <f>VLOOKUP(S160,Assets!$B$11:$C$26,2,TRUE)</f>
        <v>$7.001 to $12.000</v>
      </c>
    </row>
    <row r="161" spans="1:37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VLOOKUP(A161,Assets!$B$7:$C$11,2,TRUE)</f>
        <v>26 to 35 years old</v>
      </c>
      <c r="AK161" t="str">
        <f>VLOOKUP(S161,Assets!$B$11:$C$26,2,TRUE)</f>
        <v>Up to $3.000</v>
      </c>
    </row>
    <row r="162" spans="1:37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VLOOKUP(A162,Assets!$B$7:$C$11,2,TRUE)</f>
        <v>18 to 25 years old</v>
      </c>
      <c r="AK162" t="str">
        <f>VLOOKUP(S162,Assets!$B$11:$C$26,2,TRUE)</f>
        <v>Up to $3.000</v>
      </c>
    </row>
    <row r="163" spans="1:37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VLOOKUP(A163,Assets!$B$7:$C$11,2,TRUE)</f>
        <v>26 to 35 years old</v>
      </c>
      <c r="AK163" t="str">
        <f>VLOOKUP(S163,Assets!$B$11:$C$26,2,TRUE)</f>
        <v>Up to $3.000</v>
      </c>
    </row>
    <row r="164" spans="1:37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VLOOKUP(A164,Assets!$B$7:$C$11,2,TRUE)</f>
        <v>26 to 35 years old</v>
      </c>
      <c r="AK164" t="str">
        <f>VLOOKUP(S164,Assets!$B$11:$C$26,2,TRUE)</f>
        <v>Up to $3.000</v>
      </c>
    </row>
    <row r="165" spans="1:37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VLOOKUP(A165,Assets!$B$7:$C$11,2,TRUE)</f>
        <v>56 years or older</v>
      </c>
      <c r="AK165" t="str">
        <f>VLOOKUP(S165,Assets!$B$11:$C$26,2,TRUE)</f>
        <v>$7.001 to $12.000</v>
      </c>
    </row>
    <row r="166" spans="1:37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VLOOKUP(A166,Assets!$B$7:$C$11,2,TRUE)</f>
        <v>26 to 35 years old</v>
      </c>
      <c r="AK166" t="str">
        <f>VLOOKUP(S166,Assets!$B$11:$C$26,2,TRUE)</f>
        <v>Up to $3.000</v>
      </c>
    </row>
    <row r="167" spans="1:37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VLOOKUP(A167,Assets!$B$7:$C$11,2,TRUE)</f>
        <v>46 to 55 years old</v>
      </c>
      <c r="AK167" t="str">
        <f>VLOOKUP(S167,Assets!$B$11:$C$26,2,TRUE)</f>
        <v>Over $12.000</v>
      </c>
    </row>
    <row r="168" spans="1:37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VLOOKUP(A168,Assets!$B$7:$C$11,2,TRUE)</f>
        <v>36 to 45 years old</v>
      </c>
      <c r="AK168" t="str">
        <f>VLOOKUP(S168,Assets!$B$11:$C$26,2,TRUE)</f>
        <v>Up to $3.000</v>
      </c>
    </row>
    <row r="169" spans="1:37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VLOOKUP(A169,Assets!$B$7:$C$11,2,TRUE)</f>
        <v>26 to 35 years old</v>
      </c>
      <c r="AK169" t="str">
        <f>VLOOKUP(S169,Assets!$B$11:$C$26,2,TRUE)</f>
        <v>$7.001 to $12.000</v>
      </c>
    </row>
    <row r="170" spans="1:37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VLOOKUP(A170,Assets!$B$7:$C$11,2,TRUE)</f>
        <v>36 to 45 years old</v>
      </c>
      <c r="AK170" t="str">
        <f>VLOOKUP(S170,Assets!$B$11:$C$26,2,TRUE)</f>
        <v>$7.001 to $12.000</v>
      </c>
    </row>
    <row r="171" spans="1:37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VLOOKUP(A171,Assets!$B$7:$C$11,2,TRUE)</f>
        <v>26 to 35 years old</v>
      </c>
      <c r="AK171" t="str">
        <f>VLOOKUP(S171,Assets!$B$11:$C$26,2,TRUE)</f>
        <v>$3.001 to $7.000</v>
      </c>
    </row>
    <row r="172" spans="1:37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VLOOKUP(A172,Assets!$B$7:$C$11,2,TRUE)</f>
        <v>26 to 35 years old</v>
      </c>
      <c r="AK172" t="str">
        <f>VLOOKUP(S172,Assets!$B$11:$C$26,2,TRUE)</f>
        <v>$3.001 to $7.000</v>
      </c>
    </row>
    <row r="173" spans="1:37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VLOOKUP(A173,Assets!$B$7:$C$11,2,TRUE)</f>
        <v>18 to 25 years old</v>
      </c>
      <c r="AK173" t="str">
        <f>VLOOKUP(S173,Assets!$B$11:$C$26,2,TRUE)</f>
        <v>Up to $3.000</v>
      </c>
    </row>
    <row r="174" spans="1:37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VLOOKUP(A174,Assets!$B$7:$C$11,2,TRUE)</f>
        <v>36 to 45 years old</v>
      </c>
      <c r="AK174" t="str">
        <f>VLOOKUP(S174,Assets!$B$11:$C$26,2,TRUE)</f>
        <v>Up to $3.000</v>
      </c>
    </row>
    <row r="175" spans="1:37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VLOOKUP(A175,Assets!$B$7:$C$11,2,TRUE)</f>
        <v>26 to 35 years old</v>
      </c>
      <c r="AK175" t="str">
        <f>VLOOKUP(S175,Assets!$B$11:$C$26,2,TRUE)</f>
        <v>$3.001 to $7.000</v>
      </c>
    </row>
    <row r="176" spans="1:37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VLOOKUP(A176,Assets!$B$7:$C$11,2,TRUE)</f>
        <v>36 to 45 years old</v>
      </c>
      <c r="AK176" t="str">
        <f>VLOOKUP(S176,Assets!$B$11:$C$26,2,TRUE)</f>
        <v>$3.001 to $7.000</v>
      </c>
    </row>
    <row r="177" spans="1:37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VLOOKUP(A177,Assets!$B$7:$C$11,2,TRUE)</f>
        <v>56 years or older</v>
      </c>
      <c r="AK177" t="str">
        <f>VLOOKUP(S177,Assets!$B$11:$C$26,2,TRUE)</f>
        <v>$3.001 to $7.000</v>
      </c>
    </row>
    <row r="178" spans="1:37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VLOOKUP(A178,Assets!$B$7:$C$11,2,TRUE)</f>
        <v>26 to 35 years old</v>
      </c>
      <c r="AK178" t="str">
        <f>VLOOKUP(S178,Assets!$B$11:$C$26,2,TRUE)</f>
        <v>Up to $3.000</v>
      </c>
    </row>
    <row r="179" spans="1:37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VLOOKUP(A179,Assets!$B$7:$C$11,2,TRUE)</f>
        <v>18 to 25 years old</v>
      </c>
      <c r="AK179" t="str">
        <f>VLOOKUP(S179,Assets!$B$11:$C$26,2,TRUE)</f>
        <v>Up to $3.000</v>
      </c>
    </row>
    <row r="180" spans="1:37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VLOOKUP(A180,Assets!$B$7:$C$11,2,TRUE)</f>
        <v>46 to 55 years old</v>
      </c>
      <c r="AK180" t="str">
        <f>VLOOKUP(S180,Assets!$B$11:$C$26,2,TRUE)</f>
        <v>$7.001 to $12.000</v>
      </c>
    </row>
    <row r="181" spans="1:37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VLOOKUP(A181,Assets!$B$7:$C$11,2,TRUE)</f>
        <v>36 to 45 years old</v>
      </c>
      <c r="AK181" t="str">
        <f>VLOOKUP(S181,Assets!$B$11:$C$26,2,TRUE)</f>
        <v>Up to $3.000</v>
      </c>
    </row>
    <row r="182" spans="1:37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VLOOKUP(A182,Assets!$B$7:$C$11,2,TRUE)</f>
        <v>26 to 35 years old</v>
      </c>
      <c r="AK182" t="str">
        <f>VLOOKUP(S182,Assets!$B$11:$C$26,2,TRUE)</f>
        <v>$3.001 to $7.000</v>
      </c>
    </row>
    <row r="183" spans="1:37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VLOOKUP(A183,Assets!$B$7:$C$11,2,TRUE)</f>
        <v>26 to 35 years old</v>
      </c>
      <c r="AK183" t="str">
        <f>VLOOKUP(S183,Assets!$B$11:$C$26,2,TRUE)</f>
        <v>Up to $3.000</v>
      </c>
    </row>
    <row r="184" spans="1:37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VLOOKUP(A184,Assets!$B$7:$C$11,2,TRUE)</f>
        <v>36 to 45 years old</v>
      </c>
      <c r="AK184" t="str">
        <f>VLOOKUP(S184,Assets!$B$11:$C$26,2,TRUE)</f>
        <v>$3.001 to $7.000</v>
      </c>
    </row>
    <row r="185" spans="1:37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VLOOKUP(A185,Assets!$B$7:$C$11,2,TRUE)</f>
        <v>46 to 55 years old</v>
      </c>
      <c r="AK185" t="str">
        <f>VLOOKUP(S185,Assets!$B$11:$C$26,2,TRUE)</f>
        <v>$3.001 to $7.000</v>
      </c>
    </row>
    <row r="186" spans="1:37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VLOOKUP(A186,Assets!$B$7:$C$11,2,TRUE)</f>
        <v>46 to 55 years old</v>
      </c>
      <c r="AK186" t="str">
        <f>VLOOKUP(S186,Assets!$B$11:$C$26,2,TRUE)</f>
        <v>$3.001 to $7.000</v>
      </c>
    </row>
    <row r="187" spans="1:37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VLOOKUP(A187,Assets!$B$7:$C$11,2,TRUE)</f>
        <v>26 to 35 years old</v>
      </c>
      <c r="AK187" t="str">
        <f>VLOOKUP(S187,Assets!$B$11:$C$26,2,TRUE)</f>
        <v>Up to $3.000</v>
      </c>
    </row>
    <row r="188" spans="1:37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VLOOKUP(A188,Assets!$B$7:$C$11,2,TRUE)</f>
        <v>36 to 45 years old</v>
      </c>
      <c r="AK188" t="str">
        <f>VLOOKUP(S188,Assets!$B$11:$C$26,2,TRUE)</f>
        <v>Over $12.000</v>
      </c>
    </row>
    <row r="189" spans="1:37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VLOOKUP(A189,Assets!$B$7:$C$11,2,TRUE)</f>
        <v>46 to 55 years old</v>
      </c>
      <c r="AK189" t="str">
        <f>VLOOKUP(S189,Assets!$B$11:$C$26,2,TRUE)</f>
        <v>Over $12.000</v>
      </c>
    </row>
    <row r="190" spans="1:37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VLOOKUP(A190,Assets!$B$7:$C$11,2,TRUE)</f>
        <v>26 to 35 years old</v>
      </c>
      <c r="AK190" t="str">
        <f>VLOOKUP(S190,Assets!$B$11:$C$26,2,TRUE)</f>
        <v>$7.001 to $12.000</v>
      </c>
    </row>
    <row r="191" spans="1:37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VLOOKUP(A191,Assets!$B$7:$C$11,2,TRUE)</f>
        <v>46 to 55 years old</v>
      </c>
      <c r="AK191" t="str">
        <f>VLOOKUP(S191,Assets!$B$11:$C$26,2,TRUE)</f>
        <v>Over $12.000</v>
      </c>
    </row>
    <row r="192" spans="1:37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VLOOKUP(A192,Assets!$B$7:$C$11,2,TRUE)</f>
        <v>46 to 55 years old</v>
      </c>
      <c r="AK192" t="str">
        <f>VLOOKUP(S192,Assets!$B$11:$C$26,2,TRUE)</f>
        <v>Over $12.000</v>
      </c>
    </row>
    <row r="193" spans="1:37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VLOOKUP(A193,Assets!$B$7:$C$11,2,TRUE)</f>
        <v>26 to 35 years old</v>
      </c>
      <c r="AK193" t="str">
        <f>VLOOKUP(S193,Assets!$B$11:$C$26,2,TRUE)</f>
        <v>Up to $3.000</v>
      </c>
    </row>
    <row r="194" spans="1:37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VLOOKUP(A194,Assets!$B$7:$C$11,2,TRUE)</f>
        <v>26 to 35 years old</v>
      </c>
      <c r="AK194" t="str">
        <f>VLOOKUP(S194,Assets!$B$11:$C$26,2,TRUE)</f>
        <v>$3.001 to $7.000</v>
      </c>
    </row>
    <row r="195" spans="1:37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VLOOKUP(A195,Assets!$B$7:$C$11,2,TRUE)</f>
        <v>36 to 45 years old</v>
      </c>
      <c r="AK195" t="str">
        <f>VLOOKUP(S195,Assets!$B$11:$C$26,2,TRUE)</f>
        <v>Up to $3.000</v>
      </c>
    </row>
    <row r="196" spans="1:37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VLOOKUP(A196,Assets!$B$7:$C$11,2,TRUE)</f>
        <v>36 to 45 years old</v>
      </c>
      <c r="AK196" t="str">
        <f>VLOOKUP(S196,Assets!$B$11:$C$26,2,TRUE)</f>
        <v>Over $12.000</v>
      </c>
    </row>
    <row r="197" spans="1:37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VLOOKUP(A197,Assets!$B$7:$C$11,2,TRUE)</f>
        <v>36 to 45 years old</v>
      </c>
      <c r="AK197" t="str">
        <f>VLOOKUP(S197,Assets!$B$11:$C$26,2,TRUE)</f>
        <v>$3.001 to $7.000</v>
      </c>
    </row>
    <row r="198" spans="1:37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VLOOKUP(A198,Assets!$B$7:$C$11,2,TRUE)</f>
        <v>26 to 35 years old</v>
      </c>
      <c r="AK198" t="str">
        <f>VLOOKUP(S198,Assets!$B$11:$C$26,2,TRUE)</f>
        <v>$3.001 to $7.000</v>
      </c>
    </row>
    <row r="199" spans="1:37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VLOOKUP(A199,Assets!$B$7:$C$11,2,TRUE)</f>
        <v>36 to 45 years old</v>
      </c>
      <c r="AK199" t="str">
        <f>VLOOKUP(S199,Assets!$B$11:$C$26,2,TRUE)</f>
        <v>$3.001 to $7.000</v>
      </c>
    </row>
    <row r="200" spans="1:37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VLOOKUP(A200,Assets!$B$7:$C$11,2,TRUE)</f>
        <v>36 to 45 years old</v>
      </c>
      <c r="AK200" t="str">
        <f>VLOOKUP(S200,Assets!$B$11:$C$26,2,TRUE)</f>
        <v>$3.001 to $7.000</v>
      </c>
    </row>
    <row r="201" spans="1:37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VLOOKUP(A201,Assets!$B$7:$C$11,2,TRUE)</f>
        <v>36 to 45 years old</v>
      </c>
      <c r="AK201" t="str">
        <f>VLOOKUP(S201,Assets!$B$11:$C$26,2,TRUE)</f>
        <v>$3.001 to $7.000</v>
      </c>
    </row>
    <row r="202" spans="1:37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VLOOKUP(A202,Assets!$B$7:$C$11,2,TRUE)</f>
        <v>26 to 35 years old</v>
      </c>
      <c r="AK202" t="str">
        <f>VLOOKUP(S202,Assets!$B$11:$C$26,2,TRUE)</f>
        <v>$3.001 to $7.000</v>
      </c>
    </row>
    <row r="203" spans="1:37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VLOOKUP(A203,Assets!$B$7:$C$11,2,TRUE)</f>
        <v>46 to 55 years old</v>
      </c>
      <c r="AK203" t="str">
        <f>VLOOKUP(S203,Assets!$B$11:$C$26,2,TRUE)</f>
        <v>$3.001 to $7.000</v>
      </c>
    </row>
    <row r="204" spans="1:37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VLOOKUP(A204,Assets!$B$7:$C$11,2,TRUE)</f>
        <v>26 to 35 years old</v>
      </c>
      <c r="AK204" t="str">
        <f>VLOOKUP(S204,Assets!$B$11:$C$26,2,TRUE)</f>
        <v>$3.001 to $7.000</v>
      </c>
    </row>
    <row r="205" spans="1:37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VLOOKUP(A205,Assets!$B$7:$C$11,2,TRUE)</f>
        <v>36 to 45 years old</v>
      </c>
      <c r="AK205" t="str">
        <f>VLOOKUP(S205,Assets!$B$11:$C$26,2,TRUE)</f>
        <v>Up to $3.000</v>
      </c>
    </row>
    <row r="206" spans="1:37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VLOOKUP(A206,Assets!$B$7:$C$11,2,TRUE)</f>
        <v>36 to 45 years old</v>
      </c>
      <c r="AK206" t="str">
        <f>VLOOKUP(S206,Assets!$B$11:$C$26,2,TRUE)</f>
        <v>$3.001 to $7.000</v>
      </c>
    </row>
    <row r="207" spans="1:37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VLOOKUP(A207,Assets!$B$7:$C$11,2,TRUE)</f>
        <v>26 to 35 years old</v>
      </c>
      <c r="AK207" t="str">
        <f>VLOOKUP(S207,Assets!$B$11:$C$26,2,TRUE)</f>
        <v>$7.001 to $12.000</v>
      </c>
    </row>
    <row r="208" spans="1:37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VLOOKUP(A208,Assets!$B$7:$C$11,2,TRUE)</f>
        <v>18 to 25 years old</v>
      </c>
      <c r="AK208" t="str">
        <f>VLOOKUP(S208,Assets!$B$11:$C$26,2,TRUE)</f>
        <v>Up to $3.000</v>
      </c>
    </row>
    <row r="209" spans="1:37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VLOOKUP(A209,Assets!$B$7:$C$11,2,TRUE)</f>
        <v>36 to 45 years old</v>
      </c>
      <c r="AK209" t="str">
        <f>VLOOKUP(S209,Assets!$B$11:$C$26,2,TRUE)</f>
        <v>Up to $3.000</v>
      </c>
    </row>
    <row r="210" spans="1:37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VLOOKUP(A210,Assets!$B$7:$C$11,2,TRUE)</f>
        <v>36 to 45 years old</v>
      </c>
      <c r="AK210" t="str">
        <f>VLOOKUP(S210,Assets!$B$11:$C$26,2,TRUE)</f>
        <v>$3.001 to $7.000</v>
      </c>
    </row>
    <row r="211" spans="1:37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VLOOKUP(A211,Assets!$B$7:$C$11,2,TRUE)</f>
        <v>46 to 55 years old</v>
      </c>
      <c r="AK211" t="str">
        <f>VLOOKUP(S211,Assets!$B$11:$C$26,2,TRUE)</f>
        <v>$7.001 to $12.000</v>
      </c>
    </row>
    <row r="212" spans="1:37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VLOOKUP(A212,Assets!$B$7:$C$11,2,TRUE)</f>
        <v>26 to 35 years old</v>
      </c>
      <c r="AK212" t="str">
        <f>VLOOKUP(S212,Assets!$B$11:$C$26,2,TRUE)</f>
        <v>$7.001 to $12.000</v>
      </c>
    </row>
    <row r="213" spans="1:37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VLOOKUP(A213,Assets!$B$7:$C$11,2,TRUE)</f>
        <v>26 to 35 years old</v>
      </c>
      <c r="AK213" t="str">
        <f>VLOOKUP(S213,Assets!$B$11:$C$26,2,TRUE)</f>
        <v>$7.001 to $12.000</v>
      </c>
    </row>
    <row r="214" spans="1:37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VLOOKUP(A214,Assets!$B$7:$C$11,2,TRUE)</f>
        <v>26 to 35 years old</v>
      </c>
      <c r="AK214" t="str">
        <f>VLOOKUP(S214,Assets!$B$11:$C$26,2,TRUE)</f>
        <v>$7.001 to $12.000</v>
      </c>
    </row>
    <row r="215" spans="1:37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VLOOKUP(A215,Assets!$B$7:$C$11,2,TRUE)</f>
        <v>46 to 55 years old</v>
      </c>
      <c r="AK215" t="str">
        <f>VLOOKUP(S215,Assets!$B$11:$C$26,2,TRUE)</f>
        <v>Over $12.000</v>
      </c>
    </row>
    <row r="216" spans="1:37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VLOOKUP(A216,Assets!$B$7:$C$11,2,TRUE)</f>
        <v>26 to 35 years old</v>
      </c>
      <c r="AK216" t="str">
        <f>VLOOKUP(S216,Assets!$B$11:$C$26,2,TRUE)</f>
        <v>Up to $3.000</v>
      </c>
    </row>
    <row r="217" spans="1:37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VLOOKUP(A217,Assets!$B$7:$C$11,2,TRUE)</f>
        <v>36 to 45 years old</v>
      </c>
      <c r="AK217" t="str">
        <f>VLOOKUP(S217,Assets!$B$11:$C$26,2,TRUE)</f>
        <v>Over $12.000</v>
      </c>
    </row>
    <row r="218" spans="1:37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VLOOKUP(A218,Assets!$B$7:$C$11,2,TRUE)</f>
        <v>26 to 35 years old</v>
      </c>
      <c r="AK218" t="str">
        <f>VLOOKUP(S218,Assets!$B$11:$C$26,2,TRUE)</f>
        <v>$3.001 to $7.000</v>
      </c>
    </row>
    <row r="219" spans="1:37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VLOOKUP(A219,Assets!$B$7:$C$11,2,TRUE)</f>
        <v>26 to 35 years old</v>
      </c>
      <c r="AK219" t="str">
        <f>VLOOKUP(S219,Assets!$B$11:$C$26,2,TRUE)</f>
        <v>Up to $3.000</v>
      </c>
    </row>
    <row r="220" spans="1:37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VLOOKUP(A220,Assets!$B$7:$C$11,2,TRUE)</f>
        <v>36 to 45 years old</v>
      </c>
      <c r="AK220" t="str">
        <f>VLOOKUP(S220,Assets!$B$11:$C$26,2,TRUE)</f>
        <v>$7.001 to $12.000</v>
      </c>
    </row>
    <row r="221" spans="1:37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VLOOKUP(A221,Assets!$B$7:$C$11,2,TRUE)</f>
        <v>46 to 55 years old</v>
      </c>
      <c r="AK221" t="str">
        <f>VLOOKUP(S221,Assets!$B$11:$C$26,2,TRUE)</f>
        <v>$3.001 to $7.000</v>
      </c>
    </row>
    <row r="222" spans="1:37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VLOOKUP(A222,Assets!$B$7:$C$11,2,TRUE)</f>
        <v>36 to 45 years old</v>
      </c>
      <c r="AK222" t="str">
        <f>VLOOKUP(S222,Assets!$B$11:$C$26,2,TRUE)</f>
        <v>$3.001 to $7.000</v>
      </c>
    </row>
    <row r="223" spans="1:37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VLOOKUP(A223,Assets!$B$7:$C$11,2,TRUE)</f>
        <v>26 to 35 years old</v>
      </c>
      <c r="AK223" t="str">
        <f>VLOOKUP(S223,Assets!$B$11:$C$26,2,TRUE)</f>
        <v>Up to $3.000</v>
      </c>
    </row>
    <row r="224" spans="1:37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VLOOKUP(A224,Assets!$B$7:$C$11,2,TRUE)</f>
        <v>36 to 45 years old</v>
      </c>
      <c r="AK224" t="str">
        <f>VLOOKUP(S224,Assets!$B$11:$C$26,2,TRUE)</f>
        <v>Over $12.000</v>
      </c>
    </row>
    <row r="225" spans="1:37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VLOOKUP(A225,Assets!$B$7:$C$11,2,TRUE)</f>
        <v>36 to 45 years old</v>
      </c>
      <c r="AK225" t="str">
        <f>VLOOKUP(S225,Assets!$B$11:$C$26,2,TRUE)</f>
        <v>$7.001 to $12.000</v>
      </c>
    </row>
    <row r="226" spans="1:37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VLOOKUP(A226,Assets!$B$7:$C$11,2,TRUE)</f>
        <v>26 to 35 years old</v>
      </c>
      <c r="AK226" t="str">
        <f>VLOOKUP(S226,Assets!$B$11:$C$26,2,TRUE)</f>
        <v>$3.001 to $7.000</v>
      </c>
    </row>
    <row r="227" spans="1:37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VLOOKUP(A227,Assets!$B$7:$C$11,2,TRUE)</f>
        <v>56 years or older</v>
      </c>
      <c r="AK227" t="str">
        <f>VLOOKUP(S227,Assets!$B$11:$C$26,2,TRUE)</f>
        <v>Up to $3.000</v>
      </c>
    </row>
    <row r="228" spans="1:37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VLOOKUP(A228,Assets!$B$7:$C$11,2,TRUE)</f>
        <v>36 to 45 years old</v>
      </c>
      <c r="AK228" t="str">
        <f>VLOOKUP(S228,Assets!$B$11:$C$26,2,TRUE)</f>
        <v>Up to $3.000</v>
      </c>
    </row>
    <row r="229" spans="1:37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VLOOKUP(A229,Assets!$B$7:$C$11,2,TRUE)</f>
        <v>26 to 35 years old</v>
      </c>
      <c r="AK229" t="str">
        <f>VLOOKUP(S229,Assets!$B$11:$C$26,2,TRUE)</f>
        <v>$7.001 to $12.000</v>
      </c>
    </row>
    <row r="230" spans="1:37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VLOOKUP(A230,Assets!$B$7:$C$11,2,TRUE)</f>
        <v>26 to 35 years old</v>
      </c>
      <c r="AK230" t="str">
        <f>VLOOKUP(S230,Assets!$B$11:$C$26,2,TRUE)</f>
        <v>$7.001 to $12.000</v>
      </c>
    </row>
    <row r="231" spans="1:37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VLOOKUP(A231,Assets!$B$7:$C$11,2,TRUE)</f>
        <v>26 to 35 years old</v>
      </c>
      <c r="AK231" t="str">
        <f>VLOOKUP(S231,Assets!$B$11:$C$26,2,TRUE)</f>
        <v>Up to $3.000</v>
      </c>
    </row>
    <row r="232" spans="1:37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VLOOKUP(A232,Assets!$B$7:$C$11,2,TRUE)</f>
        <v>46 to 55 years old</v>
      </c>
      <c r="AK232" t="str">
        <f>VLOOKUP(S232,Assets!$B$11:$C$26,2,TRUE)</f>
        <v>$3.001 to $7.000</v>
      </c>
    </row>
    <row r="233" spans="1:37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VLOOKUP(A233,Assets!$B$7:$C$11,2,TRUE)</f>
        <v>36 to 45 years old</v>
      </c>
      <c r="AK233" t="str">
        <f>VLOOKUP(S233,Assets!$B$11:$C$26,2,TRUE)</f>
        <v>Over $12.000</v>
      </c>
    </row>
    <row r="234" spans="1:37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VLOOKUP(A234,Assets!$B$7:$C$11,2,TRUE)</f>
        <v>56 years or older</v>
      </c>
      <c r="AK234" t="str">
        <f>VLOOKUP(S234,Assets!$B$11:$C$26,2,TRUE)</f>
        <v>Up to $3.000</v>
      </c>
    </row>
    <row r="235" spans="1:37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VLOOKUP(A235,Assets!$B$7:$C$11,2,TRUE)</f>
        <v>46 to 55 years old</v>
      </c>
      <c r="AK235" t="str">
        <f>VLOOKUP(S235,Assets!$B$11:$C$26,2,TRUE)</f>
        <v>Over $12.000</v>
      </c>
    </row>
    <row r="236" spans="1:37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VLOOKUP(A236,Assets!$B$7:$C$11,2,TRUE)</f>
        <v>26 to 35 years old</v>
      </c>
      <c r="AK236" t="str">
        <f>VLOOKUP(S236,Assets!$B$11:$C$26,2,TRUE)</f>
        <v>Up to $3.000</v>
      </c>
    </row>
    <row r="237" spans="1:37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VLOOKUP(A237,Assets!$B$7:$C$11,2,TRUE)</f>
        <v>36 to 45 years old</v>
      </c>
      <c r="AK237" t="str">
        <f>VLOOKUP(S237,Assets!$B$11:$C$26,2,TRUE)</f>
        <v>Over $12.000</v>
      </c>
    </row>
    <row r="238" spans="1:37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VLOOKUP(A238,Assets!$B$7:$C$11,2,TRUE)</f>
        <v>26 to 35 years old</v>
      </c>
      <c r="AK238" t="str">
        <f>VLOOKUP(S238,Assets!$B$11:$C$26,2,TRUE)</f>
        <v>Up to $3.000</v>
      </c>
    </row>
    <row r="239" spans="1:37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VLOOKUP(A239,Assets!$B$7:$C$11,2,TRUE)</f>
        <v>46 to 55 years old</v>
      </c>
      <c r="AK239" t="str">
        <f>VLOOKUP(S239,Assets!$B$11:$C$26,2,TRUE)</f>
        <v>Over $12.000</v>
      </c>
    </row>
    <row r="240" spans="1:37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VLOOKUP(A240,Assets!$B$7:$C$11,2,TRUE)</f>
        <v>26 to 35 years old</v>
      </c>
      <c r="AK240" t="str">
        <f>VLOOKUP(S240,Assets!$B$11:$C$26,2,TRUE)</f>
        <v>$3.001 to $7.000</v>
      </c>
    </row>
    <row r="241" spans="1:37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VLOOKUP(A241,Assets!$B$7:$C$11,2,TRUE)</f>
        <v>26 to 35 years old</v>
      </c>
      <c r="AK241" t="str">
        <f>VLOOKUP(S241,Assets!$B$11:$C$26,2,TRUE)</f>
        <v>$3.001 to $7.000</v>
      </c>
    </row>
    <row r="242" spans="1:37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VLOOKUP(A242,Assets!$B$7:$C$11,2,TRUE)</f>
        <v>36 to 45 years old</v>
      </c>
      <c r="AK242" t="str">
        <f>VLOOKUP(S242,Assets!$B$11:$C$26,2,TRUE)</f>
        <v>Up to $3.000</v>
      </c>
    </row>
    <row r="243" spans="1:37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VLOOKUP(A243,Assets!$B$7:$C$11,2,TRUE)</f>
        <v>26 to 35 years old</v>
      </c>
      <c r="AK243" t="str">
        <f>VLOOKUP(S243,Assets!$B$11:$C$26,2,TRUE)</f>
        <v>$3.001 to $7.000</v>
      </c>
    </row>
    <row r="244" spans="1:37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VLOOKUP(A244,Assets!$B$7:$C$11,2,TRUE)</f>
        <v>36 to 45 years old</v>
      </c>
      <c r="AK244" t="str">
        <f>VLOOKUP(S244,Assets!$B$11:$C$26,2,TRUE)</f>
        <v>$3.001 to $7.000</v>
      </c>
    </row>
    <row r="245" spans="1:37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VLOOKUP(A245,Assets!$B$7:$C$11,2,TRUE)</f>
        <v>36 to 45 years old</v>
      </c>
      <c r="AK245" t="str">
        <f>VLOOKUP(S245,Assets!$B$11:$C$26,2,TRUE)</f>
        <v>$3.001 to $7.000</v>
      </c>
    </row>
    <row r="246" spans="1:37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VLOOKUP(A246,Assets!$B$7:$C$11,2,TRUE)</f>
        <v>36 to 45 years old</v>
      </c>
      <c r="AK246" t="str">
        <f>VLOOKUP(S246,Assets!$B$11:$C$26,2,TRUE)</f>
        <v>Over $12.000</v>
      </c>
    </row>
    <row r="247" spans="1:37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VLOOKUP(A247,Assets!$B$7:$C$11,2,TRUE)</f>
        <v>26 to 35 years old</v>
      </c>
      <c r="AK247" t="str">
        <f>VLOOKUP(S247,Assets!$B$11:$C$26,2,TRUE)</f>
        <v>Over $12.000</v>
      </c>
    </row>
    <row r="248" spans="1:37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VLOOKUP(A248,Assets!$B$7:$C$11,2,TRUE)</f>
        <v>26 to 35 years old</v>
      </c>
      <c r="AK248" t="str">
        <f>VLOOKUP(S248,Assets!$B$11:$C$26,2,TRUE)</f>
        <v>Up to $3.000</v>
      </c>
    </row>
    <row r="249" spans="1:37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VLOOKUP(A249,Assets!$B$7:$C$11,2,TRUE)</f>
        <v>26 to 35 years old</v>
      </c>
      <c r="AK249" t="str">
        <f>VLOOKUP(S249,Assets!$B$11:$C$26,2,TRUE)</f>
        <v>$3.001 to $7.000</v>
      </c>
    </row>
    <row r="250" spans="1:37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VLOOKUP(A250,Assets!$B$7:$C$11,2,TRUE)</f>
        <v>36 to 45 years old</v>
      </c>
      <c r="AK250" t="str">
        <f>VLOOKUP(S250,Assets!$B$11:$C$26,2,TRUE)</f>
        <v>$3.001 to $7.000</v>
      </c>
    </row>
    <row r="251" spans="1:37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VLOOKUP(A251,Assets!$B$7:$C$11,2,TRUE)</f>
        <v>36 to 45 years old</v>
      </c>
      <c r="AK251" t="str">
        <f>VLOOKUP(S251,Assets!$B$11:$C$26,2,TRUE)</f>
        <v>$3.001 to $7.000</v>
      </c>
    </row>
    <row r="252" spans="1:37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VLOOKUP(A252,Assets!$B$7:$C$11,2,TRUE)</f>
        <v>36 to 45 years old</v>
      </c>
      <c r="AK252" t="str">
        <f>VLOOKUP(S252,Assets!$B$11:$C$26,2,TRUE)</f>
        <v>$7.001 to $12.000</v>
      </c>
    </row>
    <row r="253" spans="1:37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VLOOKUP(A253,Assets!$B$7:$C$11,2,TRUE)</f>
        <v>36 to 45 years old</v>
      </c>
      <c r="AK253" t="str">
        <f>VLOOKUP(S253,Assets!$B$11:$C$26,2,TRUE)</f>
        <v>$7.001 to $12.000</v>
      </c>
    </row>
    <row r="254" spans="1:37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VLOOKUP(A254,Assets!$B$7:$C$11,2,TRUE)</f>
        <v>26 to 35 years old</v>
      </c>
      <c r="AK254" t="str">
        <f>VLOOKUP(S254,Assets!$B$11:$C$26,2,TRUE)</f>
        <v>Up to $3.000</v>
      </c>
    </row>
    <row r="255" spans="1:37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VLOOKUP(A255,Assets!$B$7:$C$11,2,TRUE)</f>
        <v>36 to 45 years old</v>
      </c>
      <c r="AK255" t="str">
        <f>VLOOKUP(S255,Assets!$B$11:$C$26,2,TRUE)</f>
        <v>$3.001 to $7.000</v>
      </c>
    </row>
    <row r="256" spans="1:37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VLOOKUP(A256,Assets!$B$7:$C$11,2,TRUE)</f>
        <v>26 to 35 years old</v>
      </c>
      <c r="AK256" t="str">
        <f>VLOOKUP(S256,Assets!$B$11:$C$26,2,TRUE)</f>
        <v>$3.001 to $7.000</v>
      </c>
    </row>
    <row r="257" spans="1:37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VLOOKUP(A257,Assets!$B$7:$C$11,2,TRUE)</f>
        <v>18 to 25 years old</v>
      </c>
      <c r="AK257" t="str">
        <f>VLOOKUP(S257,Assets!$B$11:$C$26,2,TRUE)</f>
        <v>$3.001 to $7.000</v>
      </c>
    </row>
    <row r="258" spans="1:37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VLOOKUP(A258,Assets!$B$7:$C$11,2,TRUE)</f>
        <v>36 to 45 years old</v>
      </c>
      <c r="AK258" t="str">
        <f>VLOOKUP(S258,Assets!$B$11:$C$26,2,TRUE)</f>
        <v>Up to $3.000</v>
      </c>
    </row>
    <row r="259" spans="1:37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VLOOKUP(A259,Assets!$B$7:$C$11,2,TRUE)</f>
        <v>36 to 45 years old</v>
      </c>
      <c r="AK259" t="str">
        <f>VLOOKUP(S259,Assets!$B$11:$C$26,2,TRUE)</f>
        <v>Over $12.000</v>
      </c>
    </row>
    <row r="260" spans="1:37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VLOOKUP(A260,Assets!$B$7:$C$11,2,TRUE)</f>
        <v>46 to 55 years old</v>
      </c>
      <c r="AK260" t="str">
        <f>VLOOKUP(S260,Assets!$B$11:$C$26,2,TRUE)</f>
        <v>Up to $3.000</v>
      </c>
    </row>
    <row r="261" spans="1:37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VLOOKUP(A261,Assets!$B$7:$C$11,2,TRUE)</f>
        <v>26 to 35 years old</v>
      </c>
      <c r="AK261" t="str">
        <f>VLOOKUP(S261,Assets!$B$11:$C$26,2,TRUE)</f>
        <v>$3.001 to $7.000</v>
      </c>
    </row>
    <row r="262" spans="1:37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VLOOKUP(A262,Assets!$B$7:$C$11,2,TRUE)</f>
        <v>26 to 35 years old</v>
      </c>
      <c r="AK262" t="str">
        <f>VLOOKUP(S262,Assets!$B$11:$C$26,2,TRUE)</f>
        <v>Up to $3.000</v>
      </c>
    </row>
    <row r="263" spans="1:37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VLOOKUP(A263,Assets!$B$7:$C$11,2,TRUE)</f>
        <v>36 to 45 years old</v>
      </c>
      <c r="AK263" t="str">
        <f>VLOOKUP(S263,Assets!$B$11:$C$26,2,TRUE)</f>
        <v>$3.001 to $7.000</v>
      </c>
    </row>
    <row r="264" spans="1:37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VLOOKUP(A264,Assets!$B$7:$C$11,2,TRUE)</f>
        <v>26 to 35 years old</v>
      </c>
      <c r="AK264" t="str">
        <f>VLOOKUP(S264,Assets!$B$11:$C$26,2,TRUE)</f>
        <v>Up to $3.000</v>
      </c>
    </row>
    <row r="265" spans="1:37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VLOOKUP(A265,Assets!$B$7:$C$11,2,TRUE)</f>
        <v>46 to 55 years old</v>
      </c>
      <c r="AK265" t="str">
        <f>VLOOKUP(S265,Assets!$B$11:$C$26,2,TRUE)</f>
        <v>Over $12.000</v>
      </c>
    </row>
    <row r="266" spans="1:37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VLOOKUP(A266,Assets!$B$7:$C$11,2,TRUE)</f>
        <v>26 to 35 years old</v>
      </c>
      <c r="AK266" t="str">
        <f>VLOOKUP(S266,Assets!$B$11:$C$26,2,TRUE)</f>
        <v>$3.001 to $7.000</v>
      </c>
    </row>
    <row r="267" spans="1:37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VLOOKUP(A267,Assets!$B$7:$C$11,2,TRUE)</f>
        <v>26 to 35 years old</v>
      </c>
      <c r="AK267" t="str">
        <f>VLOOKUP(S267,Assets!$B$11:$C$26,2,TRUE)</f>
        <v>$3.001 to $7.000</v>
      </c>
    </row>
    <row r="268" spans="1:37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VLOOKUP(A268,Assets!$B$7:$C$11,2,TRUE)</f>
        <v>26 to 35 years old</v>
      </c>
      <c r="AK268" t="str">
        <f>VLOOKUP(S268,Assets!$B$11:$C$26,2,TRUE)</f>
        <v>$3.001 to $7.000</v>
      </c>
    </row>
    <row r="269" spans="1:37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VLOOKUP(A269,Assets!$B$7:$C$11,2,TRUE)</f>
        <v>18 to 25 years old</v>
      </c>
      <c r="AK269" t="str">
        <f>VLOOKUP(S269,Assets!$B$11:$C$26,2,TRUE)</f>
        <v>$3.001 to $7.000</v>
      </c>
    </row>
    <row r="270" spans="1:37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VLOOKUP(A270,Assets!$B$7:$C$11,2,TRUE)</f>
        <v>36 to 45 years old</v>
      </c>
      <c r="AK270" t="str">
        <f>VLOOKUP(S270,Assets!$B$11:$C$26,2,TRUE)</f>
        <v>Over $12.000</v>
      </c>
    </row>
    <row r="271" spans="1:37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VLOOKUP(A271,Assets!$B$7:$C$11,2,TRUE)</f>
        <v>36 to 45 years old</v>
      </c>
      <c r="AK271" t="str">
        <f>VLOOKUP(S271,Assets!$B$11:$C$26,2,TRUE)</f>
        <v>$3.001 to $7.000</v>
      </c>
    </row>
    <row r="272" spans="1:37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VLOOKUP(A272,Assets!$B$7:$C$11,2,TRUE)</f>
        <v>46 to 55 years old</v>
      </c>
      <c r="AK272" t="str">
        <f>VLOOKUP(S272,Assets!$B$11:$C$26,2,TRUE)</f>
        <v>Over $12.000</v>
      </c>
    </row>
    <row r="273" spans="1:37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VLOOKUP(A273,Assets!$B$7:$C$11,2,TRUE)</f>
        <v>46 to 55 years old</v>
      </c>
      <c r="AK273" t="str">
        <f>VLOOKUP(S273,Assets!$B$11:$C$26,2,TRUE)</f>
        <v>$7.001 to $12.000</v>
      </c>
    </row>
    <row r="274" spans="1:37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VLOOKUP(A274,Assets!$B$7:$C$11,2,TRUE)</f>
        <v>26 to 35 years old</v>
      </c>
      <c r="AK274" t="str">
        <f>VLOOKUP(S274,Assets!$B$11:$C$26,2,TRUE)</f>
        <v>Up to $3.000</v>
      </c>
    </row>
    <row r="275" spans="1:37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VLOOKUP(A275,Assets!$B$7:$C$11,2,TRUE)</f>
        <v>36 to 45 years old</v>
      </c>
      <c r="AK275" t="str">
        <f>VLOOKUP(S275,Assets!$B$11:$C$26,2,TRUE)</f>
        <v>$3.001 to $7.000</v>
      </c>
    </row>
    <row r="276" spans="1:37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VLOOKUP(A276,Assets!$B$7:$C$11,2,TRUE)</f>
        <v>18 to 25 years old</v>
      </c>
      <c r="AK276" t="str">
        <f>VLOOKUP(S276,Assets!$B$11:$C$26,2,TRUE)</f>
        <v>$3.001 to $7.000</v>
      </c>
    </row>
    <row r="277" spans="1:37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VLOOKUP(A277,Assets!$B$7:$C$11,2,TRUE)</f>
        <v>36 to 45 years old</v>
      </c>
      <c r="AK277" t="str">
        <f>VLOOKUP(S277,Assets!$B$11:$C$26,2,TRUE)</f>
        <v>Over $12.000</v>
      </c>
    </row>
    <row r="278" spans="1:37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VLOOKUP(A278,Assets!$B$7:$C$11,2,TRUE)</f>
        <v>26 to 35 years old</v>
      </c>
      <c r="AK278" t="str">
        <f>VLOOKUP(S278,Assets!$B$11:$C$26,2,TRUE)</f>
        <v>$7.001 to $12.000</v>
      </c>
    </row>
    <row r="279" spans="1:37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VLOOKUP(A279,Assets!$B$7:$C$11,2,TRUE)</f>
        <v>36 to 45 years old</v>
      </c>
      <c r="AK279" t="str">
        <f>VLOOKUP(S279,Assets!$B$11:$C$26,2,TRUE)</f>
        <v>$3.001 to $7.000</v>
      </c>
    </row>
    <row r="280" spans="1:37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VLOOKUP(A280,Assets!$B$7:$C$11,2,TRUE)</f>
        <v>26 to 35 years old</v>
      </c>
      <c r="AK280" t="str">
        <f>VLOOKUP(S280,Assets!$B$11:$C$26,2,TRUE)</f>
        <v>$3.001 to $7.000</v>
      </c>
    </row>
    <row r="281" spans="1:37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VLOOKUP(A281,Assets!$B$7:$C$11,2,TRUE)</f>
        <v>46 to 55 years old</v>
      </c>
      <c r="AK281" t="str">
        <f>VLOOKUP(S281,Assets!$B$11:$C$26,2,TRUE)</f>
        <v>Over $12.000</v>
      </c>
    </row>
    <row r="282" spans="1:37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VLOOKUP(A282,Assets!$B$7:$C$11,2,TRUE)</f>
        <v>46 to 55 years old</v>
      </c>
      <c r="AK282" t="str">
        <f>VLOOKUP(S282,Assets!$B$11:$C$26,2,TRUE)</f>
        <v>Over $12.000</v>
      </c>
    </row>
    <row r="283" spans="1:37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VLOOKUP(A283,Assets!$B$7:$C$11,2,TRUE)</f>
        <v>36 to 45 years old</v>
      </c>
      <c r="AK283" t="str">
        <f>VLOOKUP(S283,Assets!$B$11:$C$26,2,TRUE)</f>
        <v>$3.001 to $7.000</v>
      </c>
    </row>
    <row r="284" spans="1:37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VLOOKUP(A284,Assets!$B$7:$C$11,2,TRUE)</f>
        <v>26 to 35 years old</v>
      </c>
      <c r="AK284" t="str">
        <f>VLOOKUP(S284,Assets!$B$11:$C$26,2,TRUE)</f>
        <v>$3.001 to $7.000</v>
      </c>
    </row>
    <row r="285" spans="1:37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VLOOKUP(A285,Assets!$B$7:$C$11,2,TRUE)</f>
        <v>46 to 55 years old</v>
      </c>
      <c r="AK285" t="str">
        <f>VLOOKUP(S285,Assets!$B$11:$C$26,2,TRUE)</f>
        <v>$3.001 to $7.000</v>
      </c>
    </row>
    <row r="286" spans="1:37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VLOOKUP(A286,Assets!$B$7:$C$11,2,TRUE)</f>
        <v>26 to 35 years old</v>
      </c>
      <c r="AK286" t="str">
        <f>VLOOKUP(S286,Assets!$B$11:$C$26,2,TRUE)</f>
        <v>$3.001 to $7.000</v>
      </c>
    </row>
    <row r="287" spans="1:37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VLOOKUP(A287,Assets!$B$7:$C$11,2,TRUE)</f>
        <v>36 to 45 years old</v>
      </c>
      <c r="AK287" t="str">
        <f>VLOOKUP(S287,Assets!$B$11:$C$26,2,TRUE)</f>
        <v>Up to $3.000</v>
      </c>
    </row>
    <row r="288" spans="1:37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VLOOKUP(A288,Assets!$B$7:$C$11,2,TRUE)</f>
        <v>36 to 45 years old</v>
      </c>
      <c r="AK288" t="str">
        <f>VLOOKUP(S288,Assets!$B$11:$C$26,2,TRUE)</f>
        <v>$3.001 to $7.000</v>
      </c>
    </row>
    <row r="289" spans="1:37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VLOOKUP(A289,Assets!$B$7:$C$11,2,TRUE)</f>
        <v>36 to 45 years old</v>
      </c>
      <c r="AK289" t="str">
        <f>VLOOKUP(S289,Assets!$B$11:$C$26,2,TRUE)</f>
        <v>$3.001 to $7.000</v>
      </c>
    </row>
    <row r="290" spans="1:37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VLOOKUP(A290,Assets!$B$7:$C$11,2,TRUE)</f>
        <v>26 to 35 years old</v>
      </c>
      <c r="AK290" t="str">
        <f>VLOOKUP(S290,Assets!$B$11:$C$26,2,TRUE)</f>
        <v>Up to $3.000</v>
      </c>
    </row>
    <row r="291" spans="1:37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VLOOKUP(A291,Assets!$B$7:$C$11,2,TRUE)</f>
        <v>26 to 35 years old</v>
      </c>
      <c r="AK291" t="str">
        <f>VLOOKUP(S291,Assets!$B$11:$C$26,2,TRUE)</f>
        <v>$3.001 to $7.000</v>
      </c>
    </row>
    <row r="292" spans="1:37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VLOOKUP(A292,Assets!$B$7:$C$11,2,TRUE)</f>
        <v>46 to 55 years old</v>
      </c>
      <c r="AK292" t="str">
        <f>VLOOKUP(S292,Assets!$B$11:$C$26,2,TRUE)</f>
        <v>Over $12.000</v>
      </c>
    </row>
    <row r="293" spans="1:37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VLOOKUP(A293,Assets!$B$7:$C$11,2,TRUE)</f>
        <v>36 to 45 years old</v>
      </c>
      <c r="AK293" t="str">
        <f>VLOOKUP(S293,Assets!$B$11:$C$26,2,TRUE)</f>
        <v>$3.001 to $7.000</v>
      </c>
    </row>
    <row r="294" spans="1:37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VLOOKUP(A294,Assets!$B$7:$C$11,2,TRUE)</f>
        <v>26 to 35 years old</v>
      </c>
      <c r="AK294" t="str">
        <f>VLOOKUP(S294,Assets!$B$11:$C$26,2,TRUE)</f>
        <v>Up to $3.000</v>
      </c>
    </row>
    <row r="295" spans="1:37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VLOOKUP(A295,Assets!$B$7:$C$11,2,TRUE)</f>
        <v>26 to 35 years old</v>
      </c>
      <c r="AK295" t="str">
        <f>VLOOKUP(S295,Assets!$B$11:$C$26,2,TRUE)</f>
        <v>$3.001 to $7.000</v>
      </c>
    </row>
    <row r="296" spans="1:37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VLOOKUP(A296,Assets!$B$7:$C$11,2,TRUE)</f>
        <v>36 to 45 years old</v>
      </c>
      <c r="AK296" t="str">
        <f>VLOOKUP(S296,Assets!$B$11:$C$26,2,TRUE)</f>
        <v>Up to $3.000</v>
      </c>
    </row>
    <row r="297" spans="1:37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VLOOKUP(A297,Assets!$B$7:$C$11,2,TRUE)</f>
        <v>36 to 45 years old</v>
      </c>
      <c r="AK297" t="str">
        <f>VLOOKUP(S297,Assets!$B$11:$C$26,2,TRUE)</f>
        <v>Over $12.000</v>
      </c>
    </row>
    <row r="298" spans="1:37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VLOOKUP(A298,Assets!$B$7:$C$11,2,TRUE)</f>
        <v>18 to 25 years old</v>
      </c>
      <c r="AK298" t="str">
        <f>VLOOKUP(S298,Assets!$B$11:$C$26,2,TRUE)</f>
        <v>Up to $3.000</v>
      </c>
    </row>
    <row r="299" spans="1:37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VLOOKUP(A299,Assets!$B$7:$C$11,2,TRUE)</f>
        <v>26 to 35 years old</v>
      </c>
      <c r="AK299" t="str">
        <f>VLOOKUP(S299,Assets!$B$11:$C$26,2,TRUE)</f>
        <v>$7.001 to $12.000</v>
      </c>
    </row>
    <row r="300" spans="1:37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VLOOKUP(A300,Assets!$B$7:$C$11,2,TRUE)</f>
        <v>36 to 45 years old</v>
      </c>
      <c r="AK300" t="str">
        <f>VLOOKUP(S300,Assets!$B$11:$C$26,2,TRUE)</f>
        <v>$3.001 to $7.000</v>
      </c>
    </row>
    <row r="301" spans="1:37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VLOOKUP(A301,Assets!$B$7:$C$11,2,TRUE)</f>
        <v>46 to 55 years old</v>
      </c>
      <c r="AK301" t="str">
        <f>VLOOKUP(S301,Assets!$B$11:$C$26,2,TRUE)</f>
        <v>$3.001 to $7.000</v>
      </c>
    </row>
    <row r="302" spans="1:37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VLOOKUP(A302,Assets!$B$7:$C$11,2,TRUE)</f>
        <v>36 to 45 years old</v>
      </c>
      <c r="AK302" t="str">
        <f>VLOOKUP(S302,Assets!$B$11:$C$26,2,TRUE)</f>
        <v>Over $12.000</v>
      </c>
    </row>
    <row r="303" spans="1:37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VLOOKUP(A303,Assets!$B$7:$C$11,2,TRUE)</f>
        <v>18 to 25 years old</v>
      </c>
      <c r="AK303" t="str">
        <f>VLOOKUP(S303,Assets!$B$11:$C$26,2,TRUE)</f>
        <v>Up to $3.000</v>
      </c>
    </row>
    <row r="304" spans="1:37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VLOOKUP(A304,Assets!$B$7:$C$11,2,TRUE)</f>
        <v>26 to 35 years old</v>
      </c>
      <c r="AK304" t="str">
        <f>VLOOKUP(S304,Assets!$B$11:$C$26,2,TRUE)</f>
        <v>$3.001 to $7.000</v>
      </c>
    </row>
    <row r="305" spans="1:37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VLOOKUP(A305,Assets!$B$7:$C$11,2,TRUE)</f>
        <v>26 to 35 years old</v>
      </c>
      <c r="AK305" t="str">
        <f>VLOOKUP(S305,Assets!$B$11:$C$26,2,TRUE)</f>
        <v>$3.001 to $7.000</v>
      </c>
    </row>
    <row r="306" spans="1:37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VLOOKUP(A306,Assets!$B$7:$C$11,2,TRUE)</f>
        <v>36 to 45 years old</v>
      </c>
      <c r="AK306" t="str">
        <f>VLOOKUP(S306,Assets!$B$11:$C$26,2,TRUE)</f>
        <v>$7.001 to $12.000</v>
      </c>
    </row>
    <row r="307" spans="1:37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VLOOKUP(A307,Assets!$B$7:$C$11,2,TRUE)</f>
        <v>36 to 45 years old</v>
      </c>
      <c r="AK307" t="str">
        <f>VLOOKUP(S307,Assets!$B$11:$C$26,2,TRUE)</f>
        <v>$3.001 to $7.000</v>
      </c>
    </row>
    <row r="308" spans="1:37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VLOOKUP(A308,Assets!$B$7:$C$11,2,TRUE)</f>
        <v>26 to 35 years old</v>
      </c>
      <c r="AK308" t="str">
        <f>VLOOKUP(S308,Assets!$B$11:$C$26,2,TRUE)</f>
        <v>$3.001 to $7.000</v>
      </c>
    </row>
    <row r="309" spans="1:37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VLOOKUP(A309,Assets!$B$7:$C$11,2,TRUE)</f>
        <v>36 to 45 years old</v>
      </c>
      <c r="AK309" t="str">
        <f>VLOOKUP(S309,Assets!$B$11:$C$26,2,TRUE)</f>
        <v>Over $12.000</v>
      </c>
    </row>
    <row r="310" spans="1:37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VLOOKUP(A310,Assets!$B$7:$C$11,2,TRUE)</f>
        <v>56 years or older</v>
      </c>
      <c r="AK310" t="str">
        <f>VLOOKUP(S310,Assets!$B$11:$C$26,2,TRUE)</f>
        <v>$3.001 to $7.000</v>
      </c>
    </row>
    <row r="311" spans="1:37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VLOOKUP(A311,Assets!$B$7:$C$11,2,TRUE)</f>
        <v>26 to 35 years old</v>
      </c>
      <c r="AK311" t="str">
        <f>VLOOKUP(S311,Assets!$B$11:$C$26,2,TRUE)</f>
        <v>$3.001 to $7.000</v>
      </c>
    </row>
    <row r="312" spans="1:37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VLOOKUP(A312,Assets!$B$7:$C$11,2,TRUE)</f>
        <v>26 to 35 years old</v>
      </c>
      <c r="AK312" t="str">
        <f>VLOOKUP(S312,Assets!$B$11:$C$26,2,TRUE)</f>
        <v>$3.001 to $7.000</v>
      </c>
    </row>
    <row r="313" spans="1:37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VLOOKUP(A313,Assets!$B$7:$C$11,2,TRUE)</f>
        <v>36 to 45 years old</v>
      </c>
      <c r="AK313" t="str">
        <f>VLOOKUP(S313,Assets!$B$11:$C$26,2,TRUE)</f>
        <v>$3.001 to $7.000</v>
      </c>
    </row>
    <row r="314" spans="1:37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VLOOKUP(A314,Assets!$B$7:$C$11,2,TRUE)</f>
        <v>26 to 35 years old</v>
      </c>
      <c r="AK314" t="str">
        <f>VLOOKUP(S314,Assets!$B$11:$C$26,2,TRUE)</f>
        <v>Up to $3.000</v>
      </c>
    </row>
    <row r="315" spans="1:37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VLOOKUP(A315,Assets!$B$7:$C$11,2,TRUE)</f>
        <v>26 to 35 years old</v>
      </c>
      <c r="AK315" t="str">
        <f>VLOOKUP(S315,Assets!$B$11:$C$26,2,TRUE)</f>
        <v>$7.001 to $12.000</v>
      </c>
    </row>
    <row r="316" spans="1:37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VLOOKUP(A316,Assets!$B$7:$C$11,2,TRUE)</f>
        <v>36 to 45 years old</v>
      </c>
      <c r="AK316" t="str">
        <f>VLOOKUP(S316,Assets!$B$11:$C$26,2,TRUE)</f>
        <v>Over $12.000</v>
      </c>
    </row>
    <row r="317" spans="1:37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VLOOKUP(A317,Assets!$B$7:$C$11,2,TRUE)</f>
        <v>36 to 45 years old</v>
      </c>
      <c r="AK317" t="str">
        <f>VLOOKUP(S317,Assets!$B$11:$C$26,2,TRUE)</f>
        <v>Up to $3.000</v>
      </c>
    </row>
    <row r="318" spans="1:37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VLOOKUP(A318,Assets!$B$7:$C$11,2,TRUE)</f>
        <v>46 to 55 years old</v>
      </c>
      <c r="AK318" t="str">
        <f>VLOOKUP(S318,Assets!$B$11:$C$26,2,TRUE)</f>
        <v>Over $12.000</v>
      </c>
    </row>
    <row r="319" spans="1:37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VLOOKUP(A319,Assets!$B$7:$C$11,2,TRUE)</f>
        <v>46 to 55 years old</v>
      </c>
      <c r="AK319" t="str">
        <f>VLOOKUP(S319,Assets!$B$11:$C$26,2,TRUE)</f>
        <v>$3.001 to $7.000</v>
      </c>
    </row>
    <row r="320" spans="1:37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VLOOKUP(A320,Assets!$B$7:$C$11,2,TRUE)</f>
        <v>26 to 35 years old</v>
      </c>
      <c r="AK320" t="str">
        <f>VLOOKUP(S320,Assets!$B$11:$C$26,2,TRUE)</f>
        <v>Up to $3.000</v>
      </c>
    </row>
    <row r="321" spans="1:37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VLOOKUP(A321,Assets!$B$7:$C$11,2,TRUE)</f>
        <v>26 to 35 years old</v>
      </c>
      <c r="AK321" t="str">
        <f>VLOOKUP(S321,Assets!$B$11:$C$26,2,TRUE)</f>
        <v>$3.001 to $7.000</v>
      </c>
    </row>
    <row r="322" spans="1:37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VLOOKUP(A322,Assets!$B$7:$C$11,2,TRUE)</f>
        <v>26 to 35 years old</v>
      </c>
      <c r="AK322" t="str">
        <f>VLOOKUP(S322,Assets!$B$11:$C$26,2,TRUE)</f>
        <v>$3.001 to $7.000</v>
      </c>
    </row>
    <row r="323" spans="1:37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VLOOKUP(A323,Assets!$B$7:$C$11,2,TRUE)</f>
        <v>26 to 35 years old</v>
      </c>
      <c r="AK323" t="str">
        <f>VLOOKUP(S323,Assets!$B$11:$C$26,2,TRUE)</f>
        <v>$7.001 to $12.000</v>
      </c>
    </row>
    <row r="324" spans="1:37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VLOOKUP(A324,Assets!$B$7:$C$11,2,TRUE)</f>
        <v>26 to 35 years old</v>
      </c>
      <c r="AK324" t="str">
        <f>VLOOKUP(S324,Assets!$B$11:$C$26,2,TRUE)</f>
        <v>$3.001 to $7.000</v>
      </c>
    </row>
    <row r="325" spans="1:37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VLOOKUP(A325,Assets!$B$7:$C$11,2,TRUE)</f>
        <v>26 to 35 years old</v>
      </c>
      <c r="AK325" t="str">
        <f>VLOOKUP(S325,Assets!$B$11:$C$26,2,TRUE)</f>
        <v>$3.001 to $7.000</v>
      </c>
    </row>
    <row r="326" spans="1:37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VLOOKUP(A326,Assets!$B$7:$C$11,2,TRUE)</f>
        <v>26 to 35 years old</v>
      </c>
      <c r="AK326" t="str">
        <f>VLOOKUP(S326,Assets!$B$11:$C$26,2,TRUE)</f>
        <v>$3.001 to $7.000</v>
      </c>
    </row>
    <row r="327" spans="1:37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VLOOKUP(A327,Assets!$B$7:$C$11,2,TRUE)</f>
        <v>26 to 35 years old</v>
      </c>
      <c r="AK327" t="str">
        <f>VLOOKUP(S327,Assets!$B$11:$C$26,2,TRUE)</f>
        <v>$7.001 to $12.000</v>
      </c>
    </row>
    <row r="328" spans="1:37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VLOOKUP(A328,Assets!$B$7:$C$11,2,TRUE)</f>
        <v>36 to 45 years old</v>
      </c>
      <c r="AK328" t="str">
        <f>VLOOKUP(S328,Assets!$B$11:$C$26,2,TRUE)</f>
        <v>Over $12.000</v>
      </c>
    </row>
    <row r="329" spans="1:37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VLOOKUP(A329,Assets!$B$7:$C$11,2,TRUE)</f>
        <v>36 to 45 years old</v>
      </c>
      <c r="AK329" t="str">
        <f>VLOOKUP(S329,Assets!$B$11:$C$26,2,TRUE)</f>
        <v>$3.001 to $7.000</v>
      </c>
    </row>
    <row r="330" spans="1:37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VLOOKUP(A330,Assets!$B$7:$C$11,2,TRUE)</f>
        <v>26 to 35 years old</v>
      </c>
      <c r="AK330" t="str">
        <f>VLOOKUP(S330,Assets!$B$11:$C$26,2,TRUE)</f>
        <v>$3.001 to $7.000</v>
      </c>
    </row>
    <row r="331" spans="1:37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VLOOKUP(A331,Assets!$B$7:$C$11,2,TRUE)</f>
        <v>46 to 55 years old</v>
      </c>
      <c r="AK331" t="str">
        <f>VLOOKUP(S331,Assets!$B$11:$C$26,2,TRUE)</f>
        <v>Over $12.000</v>
      </c>
    </row>
    <row r="332" spans="1:37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VLOOKUP(A332,Assets!$B$7:$C$11,2,TRUE)</f>
        <v>36 to 45 years old</v>
      </c>
      <c r="AK332" t="str">
        <f>VLOOKUP(S332,Assets!$B$11:$C$26,2,TRUE)</f>
        <v>$3.001 to $7.000</v>
      </c>
    </row>
    <row r="333" spans="1:37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VLOOKUP(A333,Assets!$B$7:$C$11,2,TRUE)</f>
        <v>26 to 35 years old</v>
      </c>
      <c r="AK333" t="str">
        <f>VLOOKUP(S333,Assets!$B$11:$C$26,2,TRUE)</f>
        <v>$3.001 to $7.000</v>
      </c>
    </row>
    <row r="334" spans="1:37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VLOOKUP(A334,Assets!$B$7:$C$11,2,TRUE)</f>
        <v>46 to 55 years old</v>
      </c>
      <c r="AK334" t="str">
        <f>VLOOKUP(S334,Assets!$B$11:$C$26,2,TRUE)</f>
        <v>$3.001 to $7.000</v>
      </c>
    </row>
    <row r="335" spans="1:37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VLOOKUP(A335,Assets!$B$7:$C$11,2,TRUE)</f>
        <v>36 to 45 years old</v>
      </c>
      <c r="AK335" t="str">
        <f>VLOOKUP(S335,Assets!$B$11:$C$26,2,TRUE)</f>
        <v>$7.001 to $12.000</v>
      </c>
    </row>
    <row r="336" spans="1:37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VLOOKUP(A336,Assets!$B$7:$C$11,2,TRUE)</f>
        <v>36 to 45 years old</v>
      </c>
      <c r="AK336" t="str">
        <f>VLOOKUP(S336,Assets!$B$11:$C$26,2,TRUE)</f>
        <v>$3.001 to $7.000</v>
      </c>
    </row>
    <row r="337" spans="1:37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VLOOKUP(A337,Assets!$B$7:$C$11,2,TRUE)</f>
        <v>36 to 45 years old</v>
      </c>
      <c r="AK337" t="str">
        <f>VLOOKUP(S337,Assets!$B$11:$C$26,2,TRUE)</f>
        <v>$7.001 to $12.000</v>
      </c>
    </row>
    <row r="338" spans="1:37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VLOOKUP(A338,Assets!$B$7:$C$11,2,TRUE)</f>
        <v>26 to 35 years old</v>
      </c>
      <c r="AK338" t="str">
        <f>VLOOKUP(S338,Assets!$B$11:$C$26,2,TRUE)</f>
        <v>Up to $3.000</v>
      </c>
    </row>
    <row r="339" spans="1:37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VLOOKUP(A339,Assets!$B$7:$C$11,2,TRUE)</f>
        <v>26 to 35 years old</v>
      </c>
      <c r="AK339" t="str">
        <f>VLOOKUP(S339,Assets!$B$11:$C$26,2,TRUE)</f>
        <v>$3.001 to $7.000</v>
      </c>
    </row>
    <row r="340" spans="1:37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VLOOKUP(A340,Assets!$B$7:$C$11,2,TRUE)</f>
        <v>26 to 35 years old</v>
      </c>
      <c r="AK340" t="str">
        <f>VLOOKUP(S340,Assets!$B$11:$C$26,2,TRUE)</f>
        <v>$3.001 to $7.000</v>
      </c>
    </row>
    <row r="341" spans="1:37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VLOOKUP(A341,Assets!$B$7:$C$11,2,TRUE)</f>
        <v>26 to 35 years old</v>
      </c>
      <c r="AK341" t="str">
        <f>VLOOKUP(S341,Assets!$B$11:$C$26,2,TRUE)</f>
        <v>$3.001 to $7.000</v>
      </c>
    </row>
    <row r="342" spans="1:37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VLOOKUP(A342,Assets!$B$7:$C$11,2,TRUE)</f>
        <v>36 to 45 years old</v>
      </c>
      <c r="AK342" t="str">
        <f>VLOOKUP(S342,Assets!$B$11:$C$26,2,TRUE)</f>
        <v>$3.001 to $7.000</v>
      </c>
    </row>
    <row r="343" spans="1:37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VLOOKUP(A343,Assets!$B$7:$C$11,2,TRUE)</f>
        <v>36 to 45 years old</v>
      </c>
      <c r="AK343" t="str">
        <f>VLOOKUP(S343,Assets!$B$11:$C$26,2,TRUE)</f>
        <v>$7.001 to $12.000</v>
      </c>
    </row>
    <row r="344" spans="1:37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VLOOKUP(A344,Assets!$B$7:$C$11,2,TRUE)</f>
        <v>26 to 35 years old</v>
      </c>
      <c r="AK344" t="str">
        <f>VLOOKUP(S344,Assets!$B$11:$C$26,2,TRUE)</f>
        <v>$7.001 to $12.000</v>
      </c>
    </row>
    <row r="345" spans="1:37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VLOOKUP(A345,Assets!$B$7:$C$11,2,TRUE)</f>
        <v>26 to 35 years old</v>
      </c>
      <c r="AK345" t="str">
        <f>VLOOKUP(S345,Assets!$B$11:$C$26,2,TRUE)</f>
        <v>$7.001 to $12.000</v>
      </c>
    </row>
    <row r="346" spans="1:37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VLOOKUP(A346,Assets!$B$7:$C$11,2,TRUE)</f>
        <v>26 to 35 years old</v>
      </c>
      <c r="AK346" t="str">
        <f>VLOOKUP(S346,Assets!$B$11:$C$26,2,TRUE)</f>
        <v>$7.001 to $12.000</v>
      </c>
    </row>
    <row r="347" spans="1:37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VLOOKUP(A347,Assets!$B$7:$C$11,2,TRUE)</f>
        <v>18 to 25 years old</v>
      </c>
      <c r="AK347" t="str">
        <f>VLOOKUP(S347,Assets!$B$11:$C$26,2,TRUE)</f>
        <v>Up to $3.000</v>
      </c>
    </row>
    <row r="348" spans="1:37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VLOOKUP(A348,Assets!$B$7:$C$11,2,TRUE)</f>
        <v>36 to 45 years old</v>
      </c>
      <c r="AK348" t="str">
        <f>VLOOKUP(S348,Assets!$B$11:$C$26,2,TRUE)</f>
        <v>$3.001 to $7.000</v>
      </c>
    </row>
    <row r="349" spans="1:37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VLOOKUP(A349,Assets!$B$7:$C$11,2,TRUE)</f>
        <v>46 to 55 years old</v>
      </c>
      <c r="AK349" t="str">
        <f>VLOOKUP(S349,Assets!$B$11:$C$26,2,TRUE)</f>
        <v>Up to $3.000</v>
      </c>
    </row>
    <row r="350" spans="1:37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VLOOKUP(A350,Assets!$B$7:$C$11,2,TRUE)</f>
        <v>36 to 45 years old</v>
      </c>
      <c r="AK350" t="str">
        <f>VLOOKUP(S350,Assets!$B$11:$C$26,2,TRUE)</f>
        <v>Over $12.000</v>
      </c>
    </row>
    <row r="351" spans="1:37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VLOOKUP(A351,Assets!$B$7:$C$11,2,TRUE)</f>
        <v>26 to 35 years old</v>
      </c>
      <c r="AK351" t="str">
        <f>VLOOKUP(S351,Assets!$B$11:$C$26,2,TRUE)</f>
        <v>$3.001 to $7.000</v>
      </c>
    </row>
    <row r="352" spans="1:37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VLOOKUP(A352,Assets!$B$7:$C$11,2,TRUE)</f>
        <v>36 to 45 years old</v>
      </c>
      <c r="AK352" t="str">
        <f>VLOOKUP(S352,Assets!$B$11:$C$26,2,TRUE)</f>
        <v>Up to $3.000</v>
      </c>
    </row>
    <row r="353" spans="1:37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VLOOKUP(A353,Assets!$B$7:$C$11,2,TRUE)</f>
        <v>26 to 35 years old</v>
      </c>
      <c r="AK353" t="str">
        <f>VLOOKUP(S353,Assets!$B$11:$C$26,2,TRUE)</f>
        <v>Up to $3.000</v>
      </c>
    </row>
    <row r="354" spans="1:37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VLOOKUP(A354,Assets!$B$7:$C$11,2,TRUE)</f>
        <v>46 to 55 years old</v>
      </c>
      <c r="AK354" t="str">
        <f>VLOOKUP(S354,Assets!$B$11:$C$26,2,TRUE)</f>
        <v>Over $12.000</v>
      </c>
    </row>
    <row r="355" spans="1:37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VLOOKUP(A355,Assets!$B$7:$C$11,2,TRUE)</f>
        <v>36 to 45 years old</v>
      </c>
      <c r="AK355" t="str">
        <f>VLOOKUP(S355,Assets!$B$11:$C$26,2,TRUE)</f>
        <v>$3.001 to $7.000</v>
      </c>
    </row>
    <row r="356" spans="1:37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VLOOKUP(A356,Assets!$B$7:$C$11,2,TRUE)</f>
        <v>26 to 35 years old</v>
      </c>
      <c r="AK356" t="str">
        <f>VLOOKUP(S356,Assets!$B$11:$C$26,2,TRUE)</f>
        <v>$3.001 to $7.000</v>
      </c>
    </row>
    <row r="357" spans="1:37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VLOOKUP(A357,Assets!$B$7:$C$11,2,TRUE)</f>
        <v>26 to 35 years old</v>
      </c>
      <c r="AK357" t="str">
        <f>VLOOKUP(S357,Assets!$B$11:$C$26,2,TRUE)</f>
        <v>$3.001 to $7.000</v>
      </c>
    </row>
    <row r="358" spans="1:37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VLOOKUP(A358,Assets!$B$7:$C$11,2,TRUE)</f>
        <v>36 to 45 years old</v>
      </c>
      <c r="AK358" t="str">
        <f>VLOOKUP(S358,Assets!$B$11:$C$26,2,TRUE)</f>
        <v>$3.001 to $7.000</v>
      </c>
    </row>
    <row r="359" spans="1:37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VLOOKUP(A359,Assets!$B$7:$C$11,2,TRUE)</f>
        <v>18 to 25 years old</v>
      </c>
      <c r="AK359" t="str">
        <f>VLOOKUP(S359,Assets!$B$11:$C$26,2,TRUE)</f>
        <v>Up to $3.000</v>
      </c>
    </row>
    <row r="360" spans="1:37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VLOOKUP(A360,Assets!$B$7:$C$11,2,TRUE)</f>
        <v>36 to 45 years old</v>
      </c>
      <c r="AK360" t="str">
        <f>VLOOKUP(S360,Assets!$B$11:$C$26,2,TRUE)</f>
        <v>$3.001 to $7.000</v>
      </c>
    </row>
    <row r="361" spans="1:37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VLOOKUP(A361,Assets!$B$7:$C$11,2,TRUE)</f>
        <v>36 to 45 years old</v>
      </c>
      <c r="AK361" t="str">
        <f>VLOOKUP(S361,Assets!$B$11:$C$26,2,TRUE)</f>
        <v>$7.001 to $12.000</v>
      </c>
    </row>
    <row r="362" spans="1:37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VLOOKUP(A362,Assets!$B$7:$C$11,2,TRUE)</f>
        <v>56 years or older</v>
      </c>
      <c r="AK362" t="str">
        <f>VLOOKUP(S362,Assets!$B$11:$C$26,2,TRUE)</f>
        <v>$3.001 to $7.000</v>
      </c>
    </row>
    <row r="363" spans="1:37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VLOOKUP(A363,Assets!$B$7:$C$11,2,TRUE)</f>
        <v>36 to 45 years old</v>
      </c>
      <c r="AK363" t="str">
        <f>VLOOKUP(S363,Assets!$B$11:$C$26,2,TRUE)</f>
        <v>Up to $3.000</v>
      </c>
    </row>
    <row r="364" spans="1:37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VLOOKUP(A364,Assets!$B$7:$C$11,2,TRUE)</f>
        <v>18 to 25 years old</v>
      </c>
      <c r="AK364" t="str">
        <f>VLOOKUP(S364,Assets!$B$11:$C$26,2,TRUE)</f>
        <v>Up to $3.000</v>
      </c>
    </row>
    <row r="365" spans="1:37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VLOOKUP(A365,Assets!$B$7:$C$11,2,TRUE)</f>
        <v>26 to 35 years old</v>
      </c>
      <c r="AK365" t="str">
        <f>VLOOKUP(S365,Assets!$B$11:$C$26,2,TRUE)</f>
        <v>Up to $3.000</v>
      </c>
    </row>
    <row r="366" spans="1:37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VLOOKUP(A366,Assets!$B$7:$C$11,2,TRUE)</f>
        <v>36 to 45 years old</v>
      </c>
      <c r="AK366" t="str">
        <f>VLOOKUP(S366,Assets!$B$11:$C$26,2,TRUE)</f>
        <v>$3.001 to $7.000</v>
      </c>
    </row>
    <row r="367" spans="1:37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VLOOKUP(A367,Assets!$B$7:$C$11,2,TRUE)</f>
        <v>46 to 55 years old</v>
      </c>
      <c r="AK367" t="str">
        <f>VLOOKUP(S367,Assets!$B$11:$C$26,2,TRUE)</f>
        <v>$3.001 to $7.000</v>
      </c>
    </row>
    <row r="368" spans="1:37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VLOOKUP(A368,Assets!$B$7:$C$11,2,TRUE)</f>
        <v>36 to 45 years old</v>
      </c>
      <c r="AK368" t="str">
        <f>VLOOKUP(S368,Assets!$B$11:$C$26,2,TRUE)</f>
        <v>$7.001 to $12.000</v>
      </c>
    </row>
    <row r="369" spans="1:37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VLOOKUP(A369,Assets!$B$7:$C$11,2,TRUE)</f>
        <v>46 to 55 years old</v>
      </c>
      <c r="AK369" t="str">
        <f>VLOOKUP(S369,Assets!$B$11:$C$26,2,TRUE)</f>
        <v>$7.001 to $12.000</v>
      </c>
    </row>
    <row r="370" spans="1:37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VLOOKUP(A370,Assets!$B$7:$C$11,2,TRUE)</f>
        <v>36 to 45 years old</v>
      </c>
      <c r="AK370" t="str">
        <f>VLOOKUP(S370,Assets!$B$11:$C$26,2,TRUE)</f>
        <v>$3.001 to $7.000</v>
      </c>
    </row>
    <row r="371" spans="1:37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VLOOKUP(A371,Assets!$B$7:$C$11,2,TRUE)</f>
        <v>26 to 35 years old</v>
      </c>
      <c r="AK371" t="str">
        <f>VLOOKUP(S371,Assets!$B$11:$C$26,2,TRUE)</f>
        <v>Up to $3.000</v>
      </c>
    </row>
    <row r="372" spans="1:37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VLOOKUP(A372,Assets!$B$7:$C$11,2,TRUE)</f>
        <v>18 to 25 years old</v>
      </c>
      <c r="AK372" t="str">
        <f>VLOOKUP(S372,Assets!$B$11:$C$26,2,TRUE)</f>
        <v>Up to $3.000</v>
      </c>
    </row>
    <row r="373" spans="1:37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VLOOKUP(A373,Assets!$B$7:$C$11,2,TRUE)</f>
        <v>26 to 35 years old</v>
      </c>
      <c r="AK373" t="str">
        <f>VLOOKUP(S373,Assets!$B$11:$C$26,2,TRUE)</f>
        <v>Up to $3.000</v>
      </c>
    </row>
    <row r="374" spans="1:37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VLOOKUP(A374,Assets!$B$7:$C$11,2,TRUE)</f>
        <v>26 to 35 years old</v>
      </c>
      <c r="AK374" t="str">
        <f>VLOOKUP(S374,Assets!$B$11:$C$26,2,TRUE)</f>
        <v>$3.001 to $7.000</v>
      </c>
    </row>
    <row r="375" spans="1:37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VLOOKUP(A375,Assets!$B$7:$C$11,2,TRUE)</f>
        <v>26 to 35 years old</v>
      </c>
      <c r="AK375" t="str">
        <f>VLOOKUP(S375,Assets!$B$11:$C$26,2,TRUE)</f>
        <v>$3.001 to $7.000</v>
      </c>
    </row>
    <row r="376" spans="1:37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VLOOKUP(A376,Assets!$B$7:$C$11,2,TRUE)</f>
        <v>26 to 35 years old</v>
      </c>
      <c r="AK376" t="str">
        <f>VLOOKUP(S376,Assets!$B$11:$C$26,2,TRUE)</f>
        <v>$3.001 to $7.000</v>
      </c>
    </row>
    <row r="377" spans="1:37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VLOOKUP(A377,Assets!$B$7:$C$11,2,TRUE)</f>
        <v>46 to 55 years old</v>
      </c>
      <c r="AK377" t="str">
        <f>VLOOKUP(S377,Assets!$B$11:$C$26,2,TRUE)</f>
        <v>$7.001 to $12.000</v>
      </c>
    </row>
    <row r="378" spans="1:37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VLOOKUP(A378,Assets!$B$7:$C$11,2,TRUE)</f>
        <v>46 to 55 years old</v>
      </c>
      <c r="AK378" t="str">
        <f>VLOOKUP(S378,Assets!$B$11:$C$26,2,TRUE)</f>
        <v>$3.001 to $7.000</v>
      </c>
    </row>
    <row r="379" spans="1:37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VLOOKUP(A379,Assets!$B$7:$C$11,2,TRUE)</f>
        <v>36 to 45 years old</v>
      </c>
      <c r="AK379" t="str">
        <f>VLOOKUP(S379,Assets!$B$11:$C$26,2,TRUE)</f>
        <v>Up to $3.000</v>
      </c>
    </row>
    <row r="380" spans="1:37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VLOOKUP(A380,Assets!$B$7:$C$11,2,TRUE)</f>
        <v>26 to 35 years old</v>
      </c>
      <c r="AK380" t="str">
        <f>VLOOKUP(S380,Assets!$B$11:$C$26,2,TRUE)</f>
        <v>$3.001 to $7.000</v>
      </c>
    </row>
    <row r="381" spans="1:37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VLOOKUP(A381,Assets!$B$7:$C$11,2,TRUE)</f>
        <v>46 to 55 years old</v>
      </c>
      <c r="AK381" t="str">
        <f>VLOOKUP(S381,Assets!$B$11:$C$26,2,TRUE)</f>
        <v>Over $12.000</v>
      </c>
    </row>
    <row r="382" spans="1:37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VLOOKUP(A382,Assets!$B$7:$C$11,2,TRUE)</f>
        <v>18 to 25 years old</v>
      </c>
      <c r="AK382" t="str">
        <f>VLOOKUP(S382,Assets!$B$11:$C$26,2,TRUE)</f>
        <v>$3.001 to $7.000</v>
      </c>
    </row>
    <row r="383" spans="1:37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VLOOKUP(A383,Assets!$B$7:$C$11,2,TRUE)</f>
        <v>26 to 35 years old</v>
      </c>
      <c r="AK383" t="str">
        <f>VLOOKUP(S383,Assets!$B$11:$C$26,2,TRUE)</f>
        <v>Up to $3.000</v>
      </c>
    </row>
    <row r="384" spans="1:37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VLOOKUP(A384,Assets!$B$7:$C$11,2,TRUE)</f>
        <v>26 to 35 years old</v>
      </c>
      <c r="AK384" t="str">
        <f>VLOOKUP(S384,Assets!$B$11:$C$26,2,TRUE)</f>
        <v>$3.001 to $7.000</v>
      </c>
    </row>
    <row r="385" spans="1:37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VLOOKUP(A385,Assets!$B$7:$C$11,2,TRUE)</f>
        <v>18 to 25 years old</v>
      </c>
      <c r="AK385" t="str">
        <f>VLOOKUP(S385,Assets!$B$11:$C$26,2,TRUE)</f>
        <v>Up to $3.000</v>
      </c>
    </row>
    <row r="386" spans="1:37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VLOOKUP(A386,Assets!$B$7:$C$11,2,TRUE)</f>
        <v>36 to 45 years old</v>
      </c>
      <c r="AK386" t="str">
        <f>VLOOKUP(S386,Assets!$B$11:$C$26,2,TRUE)</f>
        <v>$7.001 to $12.000</v>
      </c>
    </row>
    <row r="387" spans="1:37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VLOOKUP(A387,Assets!$B$7:$C$11,2,TRUE)</f>
        <v>26 to 35 years old</v>
      </c>
      <c r="AK387" t="str">
        <f>VLOOKUP(S387,Assets!$B$11:$C$26,2,TRUE)</f>
        <v>Up to $3.000</v>
      </c>
    </row>
    <row r="388" spans="1:37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VLOOKUP(A388,Assets!$B$7:$C$11,2,TRUE)</f>
        <v>36 to 45 years old</v>
      </c>
      <c r="AK388" t="str">
        <f>VLOOKUP(S388,Assets!$B$11:$C$26,2,TRUE)</f>
        <v>$3.001 to $7.000</v>
      </c>
    </row>
    <row r="389" spans="1:37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VLOOKUP(A389,Assets!$B$7:$C$11,2,TRUE)</f>
        <v>36 to 45 years old</v>
      </c>
      <c r="AK389" t="str">
        <f>VLOOKUP(S389,Assets!$B$11:$C$26,2,TRUE)</f>
        <v>$3.001 to $7.000</v>
      </c>
    </row>
    <row r="390" spans="1:37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VLOOKUP(A390,Assets!$B$7:$C$11,2,TRUE)</f>
        <v>36 to 45 years old</v>
      </c>
      <c r="AK390" t="str">
        <f>VLOOKUP(S390,Assets!$B$11:$C$26,2,TRUE)</f>
        <v>Up to $3.000</v>
      </c>
    </row>
    <row r="391" spans="1:37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VLOOKUP(A391,Assets!$B$7:$C$11,2,TRUE)</f>
        <v>36 to 45 years old</v>
      </c>
      <c r="AK391" t="str">
        <f>VLOOKUP(S391,Assets!$B$11:$C$26,2,TRUE)</f>
        <v>$3.001 to $7.000</v>
      </c>
    </row>
    <row r="392" spans="1:37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VLOOKUP(A392,Assets!$B$7:$C$11,2,TRUE)</f>
        <v>36 to 45 years old</v>
      </c>
      <c r="AK392" t="str">
        <f>VLOOKUP(S392,Assets!$B$11:$C$26,2,TRUE)</f>
        <v>Over $12.000</v>
      </c>
    </row>
    <row r="393" spans="1:37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VLOOKUP(A393,Assets!$B$7:$C$11,2,TRUE)</f>
        <v>36 to 45 years old</v>
      </c>
      <c r="AK393" t="str">
        <f>VLOOKUP(S393,Assets!$B$11:$C$26,2,TRUE)</f>
        <v>$3.001 to $7.000</v>
      </c>
    </row>
    <row r="394" spans="1:37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VLOOKUP(A394,Assets!$B$7:$C$11,2,TRUE)</f>
        <v>46 to 55 years old</v>
      </c>
      <c r="AK394" t="str">
        <f>VLOOKUP(S394,Assets!$B$11:$C$26,2,TRUE)</f>
        <v>Over $12.000</v>
      </c>
    </row>
    <row r="395" spans="1:37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VLOOKUP(A395,Assets!$B$7:$C$11,2,TRUE)</f>
        <v>26 to 35 years old</v>
      </c>
      <c r="AK395" t="str">
        <f>VLOOKUP(S395,Assets!$B$11:$C$26,2,TRUE)</f>
        <v>$3.001 to $7.000</v>
      </c>
    </row>
    <row r="396" spans="1:37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VLOOKUP(A396,Assets!$B$7:$C$11,2,TRUE)</f>
        <v>26 to 35 years old</v>
      </c>
      <c r="AK396" t="str">
        <f>VLOOKUP(S396,Assets!$B$11:$C$26,2,TRUE)</f>
        <v>$3.001 to $7.000</v>
      </c>
    </row>
    <row r="397" spans="1:37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VLOOKUP(A397,Assets!$B$7:$C$11,2,TRUE)</f>
        <v>36 to 45 years old</v>
      </c>
      <c r="AK397" t="str">
        <f>VLOOKUP(S397,Assets!$B$11:$C$26,2,TRUE)</f>
        <v>Up to $3.000</v>
      </c>
    </row>
    <row r="398" spans="1:37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VLOOKUP(A398,Assets!$B$7:$C$11,2,TRUE)</f>
        <v>36 to 45 years old</v>
      </c>
      <c r="AK398" t="str">
        <f>VLOOKUP(S398,Assets!$B$11:$C$26,2,TRUE)</f>
        <v>$3.001 to $7.000</v>
      </c>
    </row>
    <row r="399" spans="1:37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VLOOKUP(A399,Assets!$B$7:$C$11,2,TRUE)</f>
        <v>18 to 25 years old</v>
      </c>
      <c r="AK399" t="str">
        <f>VLOOKUP(S399,Assets!$B$11:$C$26,2,TRUE)</f>
        <v>$3.001 to $7.000</v>
      </c>
    </row>
    <row r="400" spans="1:37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VLOOKUP(A400,Assets!$B$7:$C$11,2,TRUE)</f>
        <v>36 to 45 years old</v>
      </c>
      <c r="AK400" t="str">
        <f>VLOOKUP(S400,Assets!$B$11:$C$26,2,TRUE)</f>
        <v>$3.001 to $7.000</v>
      </c>
    </row>
    <row r="401" spans="1:37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VLOOKUP(A401,Assets!$B$7:$C$11,2,TRUE)</f>
        <v>26 to 35 years old</v>
      </c>
      <c r="AK401" t="str">
        <f>VLOOKUP(S401,Assets!$B$11:$C$26,2,TRUE)</f>
        <v>Up to $3.000</v>
      </c>
    </row>
    <row r="402" spans="1:37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VLOOKUP(A402,Assets!$B$7:$C$11,2,TRUE)</f>
        <v>36 to 45 years old</v>
      </c>
      <c r="AK402" t="str">
        <f>VLOOKUP(S402,Assets!$B$11:$C$26,2,TRUE)</f>
        <v>Over $12.000</v>
      </c>
    </row>
    <row r="403" spans="1:37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VLOOKUP(A403,Assets!$B$7:$C$11,2,TRUE)</f>
        <v>56 years or older</v>
      </c>
      <c r="AK403" t="str">
        <f>VLOOKUP(S403,Assets!$B$11:$C$26,2,TRUE)</f>
        <v>Over $12.000</v>
      </c>
    </row>
    <row r="404" spans="1:37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VLOOKUP(A404,Assets!$B$7:$C$11,2,TRUE)</f>
        <v>26 to 35 years old</v>
      </c>
      <c r="AK404" t="str">
        <f>VLOOKUP(S404,Assets!$B$11:$C$26,2,TRUE)</f>
        <v>$3.001 to $7.000</v>
      </c>
    </row>
    <row r="405" spans="1:37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VLOOKUP(A405,Assets!$B$7:$C$11,2,TRUE)</f>
        <v>36 to 45 years old</v>
      </c>
      <c r="AK405" t="str">
        <f>VLOOKUP(S405,Assets!$B$11:$C$26,2,TRUE)</f>
        <v>$7.001 to $12.000</v>
      </c>
    </row>
    <row r="406" spans="1:37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VLOOKUP(A406,Assets!$B$7:$C$11,2,TRUE)</f>
        <v>26 to 35 years old</v>
      </c>
      <c r="AK406" t="str">
        <f>VLOOKUP(S406,Assets!$B$11:$C$26,2,TRUE)</f>
        <v>$3.001 to $7.000</v>
      </c>
    </row>
    <row r="407" spans="1:37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VLOOKUP(A407,Assets!$B$7:$C$11,2,TRUE)</f>
        <v>18 to 25 years old</v>
      </c>
      <c r="AK407" t="str">
        <f>VLOOKUP(S407,Assets!$B$11:$C$26,2,TRUE)</f>
        <v>$3.001 to $7.000</v>
      </c>
    </row>
    <row r="408" spans="1:37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VLOOKUP(A408,Assets!$B$7:$C$11,2,TRUE)</f>
        <v>46 to 55 years old</v>
      </c>
      <c r="AK408" t="str">
        <f>VLOOKUP(S408,Assets!$B$11:$C$26,2,TRUE)</f>
        <v>$7.001 to $12.000</v>
      </c>
    </row>
    <row r="409" spans="1:37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VLOOKUP(A409,Assets!$B$7:$C$11,2,TRUE)</f>
        <v>36 to 45 years old</v>
      </c>
      <c r="AK409" t="str">
        <f>VLOOKUP(S409,Assets!$B$11:$C$26,2,TRUE)</f>
        <v>Up to $3.000</v>
      </c>
    </row>
    <row r="410" spans="1:37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VLOOKUP(A410,Assets!$B$7:$C$11,2,TRUE)</f>
        <v>46 to 55 years old</v>
      </c>
      <c r="AK410" t="str">
        <f>VLOOKUP(S410,Assets!$B$11:$C$26,2,TRUE)</f>
        <v>Over $12.000</v>
      </c>
    </row>
    <row r="411" spans="1:37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VLOOKUP(A411,Assets!$B$7:$C$11,2,TRUE)</f>
        <v>36 to 45 years old</v>
      </c>
      <c r="AK411" t="str">
        <f>VLOOKUP(S411,Assets!$B$11:$C$26,2,TRUE)</f>
        <v>$3.001 to $7.000</v>
      </c>
    </row>
    <row r="412" spans="1:37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VLOOKUP(A412,Assets!$B$7:$C$11,2,TRUE)</f>
        <v>26 to 35 years old</v>
      </c>
      <c r="AK412" t="str">
        <f>VLOOKUP(S412,Assets!$B$11:$C$26,2,TRUE)</f>
        <v>$3.001 to $7.000</v>
      </c>
    </row>
    <row r="413" spans="1:37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VLOOKUP(A413,Assets!$B$7:$C$11,2,TRUE)</f>
        <v>56 years or older</v>
      </c>
      <c r="AK413" t="str">
        <f>VLOOKUP(S413,Assets!$B$11:$C$26,2,TRUE)</f>
        <v>Over $12.000</v>
      </c>
    </row>
    <row r="414" spans="1:37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VLOOKUP(A414,Assets!$B$7:$C$11,2,TRUE)</f>
        <v>46 to 55 years old</v>
      </c>
      <c r="AK414" t="str">
        <f>VLOOKUP(S414,Assets!$B$11:$C$26,2,TRUE)</f>
        <v>$3.001 to $7.000</v>
      </c>
    </row>
    <row r="415" spans="1:37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VLOOKUP(A415,Assets!$B$7:$C$11,2,TRUE)</f>
        <v>36 to 45 years old</v>
      </c>
      <c r="AK415" t="str">
        <f>VLOOKUP(S415,Assets!$B$11:$C$26,2,TRUE)</f>
        <v>$3.001 to $7.000</v>
      </c>
    </row>
    <row r="416" spans="1:37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VLOOKUP(A416,Assets!$B$7:$C$11,2,TRUE)</f>
        <v>18 to 25 years old</v>
      </c>
      <c r="AK416" t="str">
        <f>VLOOKUP(S416,Assets!$B$11:$C$26,2,TRUE)</f>
        <v>$3.001 to $7.000</v>
      </c>
    </row>
    <row r="417" spans="1:37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VLOOKUP(A417,Assets!$B$7:$C$11,2,TRUE)</f>
        <v>26 to 35 years old</v>
      </c>
      <c r="AK417" t="str">
        <f>VLOOKUP(S417,Assets!$B$11:$C$26,2,TRUE)</f>
        <v>Up to $3.000</v>
      </c>
    </row>
    <row r="418" spans="1:37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VLOOKUP(A418,Assets!$B$7:$C$11,2,TRUE)</f>
        <v>36 to 45 years old</v>
      </c>
      <c r="AK418" t="str">
        <f>VLOOKUP(S418,Assets!$B$11:$C$26,2,TRUE)</f>
        <v>Up to $3.000</v>
      </c>
    </row>
    <row r="419" spans="1:37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VLOOKUP(A419,Assets!$B$7:$C$11,2,TRUE)</f>
        <v>36 to 45 years old</v>
      </c>
      <c r="AK419" t="str">
        <f>VLOOKUP(S419,Assets!$B$11:$C$26,2,TRUE)</f>
        <v>Over $12.000</v>
      </c>
    </row>
    <row r="420" spans="1:37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VLOOKUP(A420,Assets!$B$7:$C$11,2,TRUE)</f>
        <v>26 to 35 years old</v>
      </c>
      <c r="AK420" t="str">
        <f>VLOOKUP(S420,Assets!$B$11:$C$26,2,TRUE)</f>
        <v>Up to $3.000</v>
      </c>
    </row>
    <row r="421" spans="1:37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VLOOKUP(A421,Assets!$B$7:$C$11,2,TRUE)</f>
        <v>26 to 35 years old</v>
      </c>
      <c r="AK421" t="str">
        <f>VLOOKUP(S421,Assets!$B$11:$C$26,2,TRUE)</f>
        <v>Up to $3.000</v>
      </c>
    </row>
    <row r="422" spans="1:37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VLOOKUP(A422,Assets!$B$7:$C$11,2,TRUE)</f>
        <v>26 to 35 years old</v>
      </c>
      <c r="AK422" t="str">
        <f>VLOOKUP(S422,Assets!$B$11:$C$26,2,TRUE)</f>
        <v>$7.001 to $12.000</v>
      </c>
    </row>
    <row r="423" spans="1:37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VLOOKUP(A423,Assets!$B$7:$C$11,2,TRUE)</f>
        <v>26 to 35 years old</v>
      </c>
      <c r="AK423" t="str">
        <f>VLOOKUP(S423,Assets!$B$11:$C$26,2,TRUE)</f>
        <v>Up to $3.000</v>
      </c>
    </row>
    <row r="424" spans="1:37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VLOOKUP(A424,Assets!$B$7:$C$11,2,TRUE)</f>
        <v>18 to 25 years old</v>
      </c>
      <c r="AK424" t="str">
        <f>VLOOKUP(S424,Assets!$B$11:$C$26,2,TRUE)</f>
        <v>Up to $3.000</v>
      </c>
    </row>
    <row r="425" spans="1:37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VLOOKUP(A425,Assets!$B$7:$C$11,2,TRUE)</f>
        <v>26 to 35 years old</v>
      </c>
      <c r="AK425" t="str">
        <f>VLOOKUP(S425,Assets!$B$11:$C$26,2,TRUE)</f>
        <v>$7.001 to $12.000</v>
      </c>
    </row>
    <row r="426" spans="1:37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VLOOKUP(A426,Assets!$B$7:$C$11,2,TRUE)</f>
        <v>56 years or older</v>
      </c>
      <c r="AK426" t="str">
        <f>VLOOKUP(S426,Assets!$B$11:$C$26,2,TRUE)</f>
        <v>Over $12.000</v>
      </c>
    </row>
    <row r="427" spans="1:37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VLOOKUP(A427,Assets!$B$7:$C$11,2,TRUE)</f>
        <v>46 to 55 years old</v>
      </c>
      <c r="AK427" t="str">
        <f>VLOOKUP(S427,Assets!$B$11:$C$26,2,TRUE)</f>
        <v>Over $12.000</v>
      </c>
    </row>
    <row r="428" spans="1:37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VLOOKUP(A428,Assets!$B$7:$C$11,2,TRUE)</f>
        <v>26 to 35 years old</v>
      </c>
      <c r="AK428" t="str">
        <f>VLOOKUP(S428,Assets!$B$11:$C$26,2,TRUE)</f>
        <v>Up to $3.000</v>
      </c>
    </row>
    <row r="429" spans="1:37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VLOOKUP(A429,Assets!$B$7:$C$11,2,TRUE)</f>
        <v>56 years or older</v>
      </c>
      <c r="AK429" t="str">
        <f>VLOOKUP(S429,Assets!$B$11:$C$26,2,TRUE)</f>
        <v>$7.001 to $12.000</v>
      </c>
    </row>
    <row r="430" spans="1:37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VLOOKUP(A430,Assets!$B$7:$C$11,2,TRUE)</f>
        <v>46 to 55 years old</v>
      </c>
      <c r="AK430" t="str">
        <f>VLOOKUP(S430,Assets!$B$11:$C$26,2,TRUE)</f>
        <v>$3.001 to $7.000</v>
      </c>
    </row>
    <row r="431" spans="1:37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VLOOKUP(A431,Assets!$B$7:$C$11,2,TRUE)</f>
        <v>46 to 55 years old</v>
      </c>
      <c r="AK431" t="str">
        <f>VLOOKUP(S431,Assets!$B$11:$C$26,2,TRUE)</f>
        <v>Over $12.000</v>
      </c>
    </row>
    <row r="432" spans="1:37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VLOOKUP(A432,Assets!$B$7:$C$11,2,TRUE)</f>
        <v>26 to 35 years old</v>
      </c>
      <c r="AK432" t="str">
        <f>VLOOKUP(S432,Assets!$B$11:$C$26,2,TRUE)</f>
        <v>$3.001 to $7.000</v>
      </c>
    </row>
    <row r="433" spans="1:37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VLOOKUP(A433,Assets!$B$7:$C$11,2,TRUE)</f>
        <v>46 to 55 years old</v>
      </c>
      <c r="AK433" t="str">
        <f>VLOOKUP(S433,Assets!$B$11:$C$26,2,TRUE)</f>
        <v>$3.001 to $7.000</v>
      </c>
    </row>
    <row r="434" spans="1:37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VLOOKUP(A434,Assets!$B$7:$C$11,2,TRUE)</f>
        <v>26 to 35 years old</v>
      </c>
      <c r="AK434" t="str">
        <f>VLOOKUP(S434,Assets!$B$11:$C$26,2,TRUE)</f>
        <v>Up to $3.000</v>
      </c>
    </row>
    <row r="435" spans="1:37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VLOOKUP(A435,Assets!$B$7:$C$11,2,TRUE)</f>
        <v>46 to 55 years old</v>
      </c>
      <c r="AK435" t="str">
        <f>VLOOKUP(S435,Assets!$B$11:$C$26,2,TRUE)</f>
        <v>$7.001 to $12.000</v>
      </c>
    </row>
    <row r="436" spans="1:37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VLOOKUP(A436,Assets!$B$7:$C$11,2,TRUE)</f>
        <v>26 to 35 years old</v>
      </c>
      <c r="AK436" t="str">
        <f>VLOOKUP(S436,Assets!$B$11:$C$26,2,TRUE)</f>
        <v>$7.001 to $12.000</v>
      </c>
    </row>
    <row r="437" spans="1:37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VLOOKUP(A437,Assets!$B$7:$C$11,2,TRUE)</f>
        <v>26 to 35 years old</v>
      </c>
      <c r="AK437" t="str">
        <f>VLOOKUP(S437,Assets!$B$11:$C$26,2,TRUE)</f>
        <v>Over $12.000</v>
      </c>
    </row>
    <row r="438" spans="1:37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VLOOKUP(A438,Assets!$B$7:$C$11,2,TRUE)</f>
        <v>26 to 35 years old</v>
      </c>
      <c r="AK438" t="str">
        <f>VLOOKUP(S438,Assets!$B$11:$C$26,2,TRUE)</f>
        <v>$3.001 to $7.000</v>
      </c>
    </row>
    <row r="439" spans="1:37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VLOOKUP(A439,Assets!$B$7:$C$11,2,TRUE)</f>
        <v>26 to 35 years old</v>
      </c>
      <c r="AK439" t="str">
        <f>VLOOKUP(S439,Assets!$B$11:$C$26,2,TRUE)</f>
        <v>Up to $3.000</v>
      </c>
    </row>
    <row r="440" spans="1:37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VLOOKUP(A440,Assets!$B$7:$C$11,2,TRUE)</f>
        <v>26 to 35 years old</v>
      </c>
      <c r="AK440" t="str">
        <f>VLOOKUP(S440,Assets!$B$11:$C$26,2,TRUE)</f>
        <v>$7.001 to $12.000</v>
      </c>
    </row>
    <row r="441" spans="1:37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VLOOKUP(A441,Assets!$B$7:$C$11,2,TRUE)</f>
        <v>26 to 35 years old</v>
      </c>
      <c r="AK441" t="str">
        <f>VLOOKUP(S441,Assets!$B$11:$C$26,2,TRUE)</f>
        <v>$7.001 to $12.000</v>
      </c>
    </row>
    <row r="442" spans="1:37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VLOOKUP(A442,Assets!$B$7:$C$11,2,TRUE)</f>
        <v>26 to 35 years old</v>
      </c>
      <c r="AK442" t="str">
        <f>VLOOKUP(S442,Assets!$B$11:$C$26,2,TRUE)</f>
        <v>$7.001 to $12.000</v>
      </c>
    </row>
    <row r="443" spans="1:37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VLOOKUP(A443,Assets!$B$7:$C$11,2,TRUE)</f>
        <v>36 to 45 years old</v>
      </c>
      <c r="AK443" t="str">
        <f>VLOOKUP(S443,Assets!$B$11:$C$26,2,TRUE)</f>
        <v>Up to $3.000</v>
      </c>
    </row>
    <row r="444" spans="1:37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VLOOKUP(A444,Assets!$B$7:$C$11,2,TRUE)</f>
        <v>36 to 45 years old</v>
      </c>
      <c r="AK444" t="str">
        <f>VLOOKUP(S444,Assets!$B$11:$C$26,2,TRUE)</f>
        <v>$7.001 to $12.000</v>
      </c>
    </row>
    <row r="445" spans="1:37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VLOOKUP(A445,Assets!$B$7:$C$11,2,TRUE)</f>
        <v>18 to 25 years old</v>
      </c>
      <c r="AK445" t="str">
        <f>VLOOKUP(S445,Assets!$B$11:$C$26,2,TRUE)</f>
        <v>$3.001 to $7.000</v>
      </c>
    </row>
    <row r="446" spans="1:37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VLOOKUP(A446,Assets!$B$7:$C$11,2,TRUE)</f>
        <v>46 to 55 years old</v>
      </c>
      <c r="AK446" t="str">
        <f>VLOOKUP(S446,Assets!$B$11:$C$26,2,TRUE)</f>
        <v>$3.001 to $7.000</v>
      </c>
    </row>
    <row r="447" spans="1:37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VLOOKUP(A447,Assets!$B$7:$C$11,2,TRUE)</f>
        <v>46 to 55 years old</v>
      </c>
      <c r="AK447" t="str">
        <f>VLOOKUP(S447,Assets!$B$11:$C$26,2,TRUE)</f>
        <v>Over $12.000</v>
      </c>
    </row>
    <row r="448" spans="1:37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VLOOKUP(A448,Assets!$B$7:$C$11,2,TRUE)</f>
        <v>36 to 45 years old</v>
      </c>
      <c r="AK448" t="str">
        <f>VLOOKUP(S448,Assets!$B$11:$C$26,2,TRUE)</f>
        <v>$3.001 to $7.000</v>
      </c>
    </row>
    <row r="449" spans="1:37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VLOOKUP(A449,Assets!$B$7:$C$11,2,TRUE)</f>
        <v>26 to 35 years old</v>
      </c>
      <c r="AK449" t="str">
        <f>VLOOKUP(S449,Assets!$B$11:$C$26,2,TRUE)</f>
        <v>$3.001 to $7.000</v>
      </c>
    </row>
    <row r="450" spans="1:37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VLOOKUP(A450,Assets!$B$7:$C$11,2,TRUE)</f>
        <v>36 to 45 years old</v>
      </c>
      <c r="AK450" t="str">
        <f>VLOOKUP(S450,Assets!$B$11:$C$26,2,TRUE)</f>
        <v>Over $12.000</v>
      </c>
    </row>
    <row r="451" spans="1:37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VLOOKUP(A451,Assets!$B$7:$C$11,2,TRUE)</f>
        <v>36 to 45 years old</v>
      </c>
      <c r="AK451" t="str">
        <f>VLOOKUP(S451,Assets!$B$11:$C$26,2,TRUE)</f>
        <v>$3.001 to $7.000</v>
      </c>
    </row>
    <row r="452" spans="1:37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VLOOKUP(A452,Assets!$B$7:$C$11,2,TRUE)</f>
        <v>26 to 35 years old</v>
      </c>
      <c r="AK452" t="str">
        <f>VLOOKUP(S452,Assets!$B$11:$C$26,2,TRUE)</f>
        <v>$3.001 to $7.000</v>
      </c>
    </row>
    <row r="453" spans="1:37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VLOOKUP(A453,Assets!$B$7:$C$11,2,TRUE)</f>
        <v>36 to 45 years old</v>
      </c>
      <c r="AK453" t="str">
        <f>VLOOKUP(S453,Assets!$B$11:$C$26,2,TRUE)</f>
        <v>$7.001 to $12.000</v>
      </c>
    </row>
    <row r="454" spans="1:37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VLOOKUP(A454,Assets!$B$7:$C$11,2,TRUE)</f>
        <v>36 to 45 years old</v>
      </c>
      <c r="AK454" t="str">
        <f>VLOOKUP(S454,Assets!$B$11:$C$26,2,TRUE)</f>
        <v>$3.001 to $7.000</v>
      </c>
    </row>
    <row r="455" spans="1:37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VLOOKUP(A455,Assets!$B$7:$C$11,2,TRUE)</f>
        <v>26 to 35 years old</v>
      </c>
      <c r="AK455" t="str">
        <f>VLOOKUP(S455,Assets!$B$11:$C$26,2,TRUE)</f>
        <v>Up to $3.000</v>
      </c>
    </row>
    <row r="456" spans="1:37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VLOOKUP(A456,Assets!$B$7:$C$11,2,TRUE)</f>
        <v>26 to 35 years old</v>
      </c>
      <c r="AK456" t="str">
        <f>VLOOKUP(S456,Assets!$B$11:$C$26,2,TRUE)</f>
        <v>$3.001 to $7.000</v>
      </c>
    </row>
    <row r="457" spans="1:37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VLOOKUP(A457,Assets!$B$7:$C$11,2,TRUE)</f>
        <v>26 to 35 years old</v>
      </c>
      <c r="AK457" t="str">
        <f>VLOOKUP(S457,Assets!$B$11:$C$26,2,TRUE)</f>
        <v>Over $12.000</v>
      </c>
    </row>
    <row r="458" spans="1:37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VLOOKUP(A458,Assets!$B$7:$C$11,2,TRUE)</f>
        <v>26 to 35 years old</v>
      </c>
      <c r="AK458" t="str">
        <f>VLOOKUP(S458,Assets!$B$11:$C$26,2,TRUE)</f>
        <v>$7.001 to $12.000</v>
      </c>
    </row>
    <row r="459" spans="1:37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VLOOKUP(A459,Assets!$B$7:$C$11,2,TRUE)</f>
        <v>18 to 25 years old</v>
      </c>
      <c r="AK459" t="str">
        <f>VLOOKUP(S459,Assets!$B$11:$C$26,2,TRUE)</f>
        <v>Up to $3.000</v>
      </c>
    </row>
    <row r="460" spans="1:37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VLOOKUP(A460,Assets!$B$7:$C$11,2,TRUE)</f>
        <v>36 to 45 years old</v>
      </c>
      <c r="AK460" t="str">
        <f>VLOOKUP(S460,Assets!$B$11:$C$26,2,TRUE)</f>
        <v>$7.001 to $12.000</v>
      </c>
    </row>
    <row r="461" spans="1:37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VLOOKUP(A461,Assets!$B$7:$C$11,2,TRUE)</f>
        <v>36 to 45 years old</v>
      </c>
      <c r="AK461" t="str">
        <f>VLOOKUP(S461,Assets!$B$11:$C$26,2,TRUE)</f>
        <v>$3.001 to $7.000</v>
      </c>
    </row>
    <row r="462" spans="1:37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VLOOKUP(A462,Assets!$B$7:$C$11,2,TRUE)</f>
        <v>26 to 35 years old</v>
      </c>
      <c r="AK462" t="str">
        <f>VLOOKUP(S462,Assets!$B$11:$C$26,2,TRUE)</f>
        <v>$3.001 to $7.000</v>
      </c>
    </row>
    <row r="463" spans="1:37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VLOOKUP(A463,Assets!$B$7:$C$11,2,TRUE)</f>
        <v>26 to 35 years old</v>
      </c>
      <c r="AK463" t="str">
        <f>VLOOKUP(S463,Assets!$B$11:$C$26,2,TRUE)</f>
        <v>$3.001 to $7.000</v>
      </c>
    </row>
    <row r="464" spans="1:37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VLOOKUP(A464,Assets!$B$7:$C$11,2,TRUE)</f>
        <v>26 to 35 years old</v>
      </c>
      <c r="AK464" t="str">
        <f>VLOOKUP(S464,Assets!$B$11:$C$26,2,TRUE)</f>
        <v>$3.001 to $7.000</v>
      </c>
    </row>
    <row r="465" spans="1:37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VLOOKUP(A465,Assets!$B$7:$C$11,2,TRUE)</f>
        <v>26 to 35 years old</v>
      </c>
      <c r="AK465" t="str">
        <f>VLOOKUP(S465,Assets!$B$11:$C$26,2,TRUE)</f>
        <v>Up to $3.000</v>
      </c>
    </row>
    <row r="466" spans="1:37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VLOOKUP(A466,Assets!$B$7:$C$11,2,TRUE)</f>
        <v>36 to 45 years old</v>
      </c>
      <c r="AK466" t="str">
        <f>VLOOKUP(S466,Assets!$B$11:$C$26,2,TRUE)</f>
        <v>$7.001 to $12.000</v>
      </c>
    </row>
    <row r="467" spans="1:37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VLOOKUP(A467,Assets!$B$7:$C$11,2,TRUE)</f>
        <v>46 to 55 years old</v>
      </c>
      <c r="AK467" t="str">
        <f>VLOOKUP(S467,Assets!$B$11:$C$26,2,TRUE)</f>
        <v>$7.001 to $12.000</v>
      </c>
    </row>
    <row r="468" spans="1:37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VLOOKUP(A468,Assets!$B$7:$C$11,2,TRUE)</f>
        <v>36 to 45 years old</v>
      </c>
      <c r="AK468" t="str">
        <f>VLOOKUP(S468,Assets!$B$11:$C$26,2,TRUE)</f>
        <v>Over $12.000</v>
      </c>
    </row>
    <row r="469" spans="1:37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VLOOKUP(A469,Assets!$B$7:$C$11,2,TRUE)</f>
        <v>36 to 45 years old</v>
      </c>
      <c r="AK469" t="str">
        <f>VLOOKUP(S469,Assets!$B$11:$C$26,2,TRUE)</f>
        <v>$7.001 to $12.000</v>
      </c>
    </row>
    <row r="470" spans="1:37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VLOOKUP(A470,Assets!$B$7:$C$11,2,TRUE)</f>
        <v>46 to 55 years old</v>
      </c>
      <c r="AK470" t="str">
        <f>VLOOKUP(S470,Assets!$B$11:$C$26,2,TRUE)</f>
        <v>$3.001 to $7.000</v>
      </c>
    </row>
    <row r="471" spans="1:37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VLOOKUP(A471,Assets!$B$7:$C$11,2,TRUE)</f>
        <v>26 to 35 years old</v>
      </c>
      <c r="AK471" t="str">
        <f>VLOOKUP(S471,Assets!$B$11:$C$26,2,TRUE)</f>
        <v>$3.001 to $7.000</v>
      </c>
    </row>
    <row r="472" spans="1:37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VLOOKUP(A472,Assets!$B$7:$C$11,2,TRUE)</f>
        <v>18 to 25 years old</v>
      </c>
      <c r="AK472" t="str">
        <f>VLOOKUP(S472,Assets!$B$11:$C$26,2,TRUE)</f>
        <v>Up to $3.000</v>
      </c>
    </row>
    <row r="473" spans="1:37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VLOOKUP(A473,Assets!$B$7:$C$11,2,TRUE)</f>
        <v>36 to 45 years old</v>
      </c>
      <c r="AK473" t="str">
        <f>VLOOKUP(S473,Assets!$B$11:$C$26,2,TRUE)</f>
        <v>$7.001 to $12.000</v>
      </c>
    </row>
    <row r="474" spans="1:37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VLOOKUP(A474,Assets!$B$7:$C$11,2,TRUE)</f>
        <v>36 to 45 years old</v>
      </c>
      <c r="AK474" t="str">
        <f>VLOOKUP(S474,Assets!$B$11:$C$26,2,TRUE)</f>
        <v>$3.001 to $7.000</v>
      </c>
    </row>
    <row r="475" spans="1:37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VLOOKUP(A475,Assets!$B$7:$C$11,2,TRUE)</f>
        <v>46 to 55 years old</v>
      </c>
      <c r="AK475" t="str">
        <f>VLOOKUP(S475,Assets!$B$11:$C$26,2,TRUE)</f>
        <v>Over $12.000</v>
      </c>
    </row>
    <row r="476" spans="1:37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VLOOKUP(A476,Assets!$B$7:$C$11,2,TRUE)</f>
        <v>18 to 25 years old</v>
      </c>
      <c r="AK476" t="str">
        <f>VLOOKUP(S476,Assets!$B$11:$C$26,2,TRUE)</f>
        <v>Up to $3.000</v>
      </c>
    </row>
    <row r="477" spans="1:37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VLOOKUP(A477,Assets!$B$7:$C$11,2,TRUE)</f>
        <v>26 to 35 years old</v>
      </c>
      <c r="AK477" t="str">
        <f>VLOOKUP(S477,Assets!$B$11:$C$26,2,TRUE)</f>
        <v>$3.001 to $7.000</v>
      </c>
    </row>
    <row r="478" spans="1:37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VLOOKUP(A478,Assets!$B$7:$C$11,2,TRUE)</f>
        <v>18 to 25 years old</v>
      </c>
      <c r="AK478" t="str">
        <f>VLOOKUP(S478,Assets!$B$11:$C$26,2,TRUE)</f>
        <v>Up to $3.000</v>
      </c>
    </row>
    <row r="479" spans="1:37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VLOOKUP(A479,Assets!$B$7:$C$11,2,TRUE)</f>
        <v>46 to 55 years old</v>
      </c>
      <c r="AK479" t="str">
        <f>VLOOKUP(S479,Assets!$B$11:$C$26,2,TRUE)</f>
        <v>Over $12.000</v>
      </c>
    </row>
    <row r="480" spans="1:37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VLOOKUP(A480,Assets!$B$7:$C$11,2,TRUE)</f>
        <v>18 to 25 years old</v>
      </c>
      <c r="AK480" t="str">
        <f>VLOOKUP(S480,Assets!$B$11:$C$26,2,TRUE)</f>
        <v>Up to $3.000</v>
      </c>
    </row>
    <row r="481" spans="1:37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VLOOKUP(A481,Assets!$B$7:$C$11,2,TRUE)</f>
        <v>18 to 25 years old</v>
      </c>
      <c r="AK481" t="str">
        <f>VLOOKUP(S481,Assets!$B$11:$C$26,2,TRUE)</f>
        <v>Up to $3.000</v>
      </c>
    </row>
    <row r="482" spans="1:37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VLOOKUP(A482,Assets!$B$7:$C$11,2,TRUE)</f>
        <v>26 to 35 years old</v>
      </c>
      <c r="AK482" t="str">
        <f>VLOOKUP(S482,Assets!$B$11:$C$26,2,TRUE)</f>
        <v>Up to $3.000</v>
      </c>
    </row>
    <row r="483" spans="1:37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VLOOKUP(A483,Assets!$B$7:$C$11,2,TRUE)</f>
        <v>26 to 35 years old</v>
      </c>
      <c r="AK483" t="str">
        <f>VLOOKUP(S483,Assets!$B$11:$C$26,2,TRUE)</f>
        <v>$3.001 to $7.000</v>
      </c>
    </row>
    <row r="484" spans="1:37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VLOOKUP(A484,Assets!$B$7:$C$11,2,TRUE)</f>
        <v>26 to 35 years old</v>
      </c>
      <c r="AK484" t="str">
        <f>VLOOKUP(S484,Assets!$B$11:$C$26,2,TRUE)</f>
        <v>$3.001 to $7.000</v>
      </c>
    </row>
    <row r="485" spans="1:37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VLOOKUP(A485,Assets!$B$7:$C$11,2,TRUE)</f>
        <v>26 to 35 years old</v>
      </c>
      <c r="AK485" t="str">
        <f>VLOOKUP(S485,Assets!$B$11:$C$26,2,TRUE)</f>
        <v>$3.001 to $7.000</v>
      </c>
    </row>
    <row r="486" spans="1:37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VLOOKUP(A486,Assets!$B$7:$C$11,2,TRUE)</f>
        <v>26 to 35 years old</v>
      </c>
      <c r="AK486" t="str">
        <f>VLOOKUP(S486,Assets!$B$11:$C$26,2,TRUE)</f>
        <v>$3.001 to $7.000</v>
      </c>
    </row>
    <row r="487" spans="1:37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VLOOKUP(A487,Assets!$B$7:$C$11,2,TRUE)</f>
        <v>26 to 35 years old</v>
      </c>
      <c r="AK487" t="str">
        <f>VLOOKUP(S487,Assets!$B$11:$C$26,2,TRUE)</f>
        <v>Up to $3.000</v>
      </c>
    </row>
    <row r="488" spans="1:37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VLOOKUP(A488,Assets!$B$7:$C$11,2,TRUE)</f>
        <v>36 to 45 years old</v>
      </c>
      <c r="AK488" t="str">
        <f>VLOOKUP(S488,Assets!$B$11:$C$26,2,TRUE)</f>
        <v>$7.001 to $12.000</v>
      </c>
    </row>
    <row r="489" spans="1:37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VLOOKUP(A489,Assets!$B$7:$C$11,2,TRUE)</f>
        <v>18 to 25 years old</v>
      </c>
      <c r="AK489" t="str">
        <f>VLOOKUP(S489,Assets!$B$11:$C$26,2,TRUE)</f>
        <v>Up to $3.000</v>
      </c>
    </row>
    <row r="490" spans="1:37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VLOOKUP(A490,Assets!$B$7:$C$11,2,TRUE)</f>
        <v>36 to 45 years old</v>
      </c>
      <c r="AK490" t="str">
        <f>VLOOKUP(S490,Assets!$B$11:$C$26,2,TRUE)</f>
        <v>$3.001 to $7.000</v>
      </c>
    </row>
    <row r="491" spans="1:37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VLOOKUP(A491,Assets!$B$7:$C$11,2,TRUE)</f>
        <v>36 to 45 years old</v>
      </c>
      <c r="AK491" t="str">
        <f>VLOOKUP(S491,Assets!$B$11:$C$26,2,TRUE)</f>
        <v>Over $12.000</v>
      </c>
    </row>
    <row r="492" spans="1:37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VLOOKUP(A492,Assets!$B$7:$C$11,2,TRUE)</f>
        <v>36 to 45 years old</v>
      </c>
      <c r="AK492" t="str">
        <f>VLOOKUP(S492,Assets!$B$11:$C$26,2,TRUE)</f>
        <v>Up to $3.000</v>
      </c>
    </row>
    <row r="493" spans="1:37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VLOOKUP(A493,Assets!$B$7:$C$11,2,TRUE)</f>
        <v>36 to 45 years old</v>
      </c>
      <c r="AK493" t="str">
        <f>VLOOKUP(S493,Assets!$B$11:$C$26,2,TRUE)</f>
        <v>$3.001 to $7.000</v>
      </c>
    </row>
    <row r="494" spans="1:37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VLOOKUP(A494,Assets!$B$7:$C$11,2,TRUE)</f>
        <v>46 to 55 years old</v>
      </c>
      <c r="AK494" t="str">
        <f>VLOOKUP(S494,Assets!$B$11:$C$26,2,TRUE)</f>
        <v>Over $12.000</v>
      </c>
    </row>
    <row r="495" spans="1:37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VLOOKUP(A495,Assets!$B$7:$C$11,2,TRUE)</f>
        <v>36 to 45 years old</v>
      </c>
      <c r="AK495" t="str">
        <f>VLOOKUP(S495,Assets!$B$11:$C$26,2,TRUE)</f>
        <v>$3.001 to $7.000</v>
      </c>
    </row>
    <row r="496" spans="1:37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VLOOKUP(A496,Assets!$B$7:$C$11,2,TRUE)</f>
        <v>26 to 35 years old</v>
      </c>
      <c r="AK496" t="str">
        <f>VLOOKUP(S496,Assets!$B$11:$C$26,2,TRUE)</f>
        <v>Up to $3.000</v>
      </c>
    </row>
    <row r="497" spans="1:37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VLOOKUP(A497,Assets!$B$7:$C$11,2,TRUE)</f>
        <v>26 to 35 years old</v>
      </c>
      <c r="AK497" t="str">
        <f>VLOOKUP(S497,Assets!$B$11:$C$26,2,TRUE)</f>
        <v>$3.001 to $7.000</v>
      </c>
    </row>
    <row r="498" spans="1:37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VLOOKUP(A498,Assets!$B$7:$C$11,2,TRUE)</f>
        <v>18 to 25 years old</v>
      </c>
      <c r="AK498" t="str">
        <f>VLOOKUP(S498,Assets!$B$11:$C$26,2,TRUE)</f>
        <v>$3.001 to $7.000</v>
      </c>
    </row>
    <row r="499" spans="1:37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VLOOKUP(A499,Assets!$B$7:$C$11,2,TRUE)</f>
        <v>36 to 45 years old</v>
      </c>
      <c r="AK499" t="str">
        <f>VLOOKUP(S499,Assets!$B$11:$C$26,2,TRUE)</f>
        <v>Over $12.000</v>
      </c>
    </row>
    <row r="500" spans="1:37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VLOOKUP(A500,Assets!$B$7:$C$11,2,TRUE)</f>
        <v>18 to 25 years old</v>
      </c>
      <c r="AK500" t="str">
        <f>VLOOKUP(S500,Assets!$B$11:$C$26,2,TRUE)</f>
        <v>Up to $3.000</v>
      </c>
    </row>
    <row r="501" spans="1:37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VLOOKUP(A501,Assets!$B$7:$C$11,2,TRUE)</f>
        <v>26 to 35 years old</v>
      </c>
      <c r="AK501" t="str">
        <f>VLOOKUP(S501,Assets!$B$11:$C$26,2,TRUE)</f>
        <v>$7.001 to $12.000</v>
      </c>
    </row>
    <row r="502" spans="1:37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VLOOKUP(A502,Assets!$B$7:$C$11,2,TRUE)</f>
        <v>26 to 35 years old</v>
      </c>
      <c r="AK502" t="str">
        <f>VLOOKUP(S502,Assets!$B$11:$C$26,2,TRUE)</f>
        <v>$3.001 to $7.000</v>
      </c>
    </row>
    <row r="503" spans="1:37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VLOOKUP(A503,Assets!$B$7:$C$11,2,TRUE)</f>
        <v>26 to 35 years old</v>
      </c>
      <c r="AK503" t="str">
        <f>VLOOKUP(S503,Assets!$B$11:$C$26,2,TRUE)</f>
        <v>Up to $3.000</v>
      </c>
    </row>
    <row r="504" spans="1:37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VLOOKUP(A504,Assets!$B$7:$C$11,2,TRUE)</f>
        <v>46 to 55 years old</v>
      </c>
      <c r="AK504" t="str">
        <f>VLOOKUP(S504,Assets!$B$11:$C$26,2,TRUE)</f>
        <v>$7.001 to $12.000</v>
      </c>
    </row>
    <row r="505" spans="1:37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VLOOKUP(A505,Assets!$B$7:$C$11,2,TRUE)</f>
        <v>26 to 35 years old</v>
      </c>
      <c r="AK505" t="str">
        <f>VLOOKUP(S505,Assets!$B$11:$C$26,2,TRUE)</f>
        <v>Up to $3.000</v>
      </c>
    </row>
    <row r="506" spans="1:37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VLOOKUP(A506,Assets!$B$7:$C$11,2,TRUE)</f>
        <v>36 to 45 years old</v>
      </c>
      <c r="AK506" t="str">
        <f>VLOOKUP(S506,Assets!$B$11:$C$26,2,TRUE)</f>
        <v>$3.001 to $7.000</v>
      </c>
    </row>
    <row r="507" spans="1:37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VLOOKUP(A507,Assets!$B$7:$C$11,2,TRUE)</f>
        <v>26 to 35 years old</v>
      </c>
      <c r="AK507" t="str">
        <f>VLOOKUP(S507,Assets!$B$11:$C$26,2,TRUE)</f>
        <v>Up to $3.000</v>
      </c>
    </row>
    <row r="508" spans="1:37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VLOOKUP(A508,Assets!$B$7:$C$11,2,TRUE)</f>
        <v>36 to 45 years old</v>
      </c>
      <c r="AK508" t="str">
        <f>VLOOKUP(S508,Assets!$B$11:$C$26,2,TRUE)</f>
        <v>$7.001 to $12.000</v>
      </c>
    </row>
    <row r="509" spans="1:37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VLOOKUP(A509,Assets!$B$7:$C$11,2,TRUE)</f>
        <v>26 to 35 years old</v>
      </c>
      <c r="AK509" t="str">
        <f>VLOOKUP(S509,Assets!$B$11:$C$26,2,TRUE)</f>
        <v>$3.001 to $7.000</v>
      </c>
    </row>
    <row r="510" spans="1:37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VLOOKUP(A510,Assets!$B$7:$C$11,2,TRUE)</f>
        <v>26 to 35 years old</v>
      </c>
      <c r="AK510" t="str">
        <f>VLOOKUP(S510,Assets!$B$11:$C$26,2,TRUE)</f>
        <v>$3.001 to $7.000</v>
      </c>
    </row>
    <row r="511" spans="1:37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VLOOKUP(A511,Assets!$B$7:$C$11,2,TRUE)</f>
        <v>26 to 35 years old</v>
      </c>
      <c r="AK511" t="str">
        <f>VLOOKUP(S511,Assets!$B$11:$C$26,2,TRUE)</f>
        <v>$7.001 to $12.000</v>
      </c>
    </row>
    <row r="512" spans="1:37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VLOOKUP(A512,Assets!$B$7:$C$11,2,TRUE)</f>
        <v>46 to 55 years old</v>
      </c>
      <c r="AK512" t="str">
        <f>VLOOKUP(S512,Assets!$B$11:$C$26,2,TRUE)</f>
        <v>$7.001 to $12.000</v>
      </c>
    </row>
    <row r="513" spans="1:37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VLOOKUP(A513,Assets!$B$7:$C$11,2,TRUE)</f>
        <v>36 to 45 years old</v>
      </c>
      <c r="AK513" t="str">
        <f>VLOOKUP(S513,Assets!$B$11:$C$26,2,TRUE)</f>
        <v>$7.001 to $12.000</v>
      </c>
    </row>
    <row r="514" spans="1:37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VLOOKUP(A514,Assets!$B$7:$C$11,2,TRUE)</f>
        <v>26 to 35 years old</v>
      </c>
      <c r="AK514" t="str">
        <f>VLOOKUP(S514,Assets!$B$11:$C$26,2,TRUE)</f>
        <v>Up to $3.000</v>
      </c>
    </row>
    <row r="515" spans="1:37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VLOOKUP(A515,Assets!$B$7:$C$11,2,TRUE)</f>
        <v>18 to 25 years old</v>
      </c>
      <c r="AK515" t="str">
        <f>VLOOKUP(S515,Assets!$B$11:$C$26,2,TRUE)</f>
        <v>Up to $3.000</v>
      </c>
    </row>
    <row r="516" spans="1:37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VLOOKUP(A516,Assets!$B$7:$C$11,2,TRUE)</f>
        <v>26 to 35 years old</v>
      </c>
      <c r="AK516" t="str">
        <f>VLOOKUP(S516,Assets!$B$11:$C$26,2,TRUE)</f>
        <v>$3.001 to $7.000</v>
      </c>
    </row>
    <row r="517" spans="1:37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VLOOKUP(A517,Assets!$B$7:$C$11,2,TRUE)</f>
        <v>26 to 35 years old</v>
      </c>
      <c r="AK517" t="str">
        <f>VLOOKUP(S517,Assets!$B$11:$C$26,2,TRUE)</f>
        <v>Up to $3.000</v>
      </c>
    </row>
    <row r="518" spans="1:37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VLOOKUP(A518,Assets!$B$7:$C$11,2,TRUE)</f>
        <v>18 to 25 years old</v>
      </c>
      <c r="AK518" t="str">
        <f>VLOOKUP(S518,Assets!$B$11:$C$26,2,TRUE)</f>
        <v>Up to $3.000</v>
      </c>
    </row>
    <row r="519" spans="1:37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VLOOKUP(A519,Assets!$B$7:$C$11,2,TRUE)</f>
        <v>18 to 25 years old</v>
      </c>
      <c r="AK519" t="str">
        <f>VLOOKUP(S519,Assets!$B$11:$C$26,2,TRUE)</f>
        <v>$3.001 to $7.000</v>
      </c>
    </row>
    <row r="520" spans="1:37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VLOOKUP(A520,Assets!$B$7:$C$11,2,TRUE)</f>
        <v>36 to 45 years old</v>
      </c>
      <c r="AK520" t="str">
        <f>VLOOKUP(S520,Assets!$B$11:$C$26,2,TRUE)</f>
        <v>$3.001 to $7.000</v>
      </c>
    </row>
    <row r="521" spans="1:37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VLOOKUP(A521,Assets!$B$7:$C$11,2,TRUE)</f>
        <v>26 to 35 years old</v>
      </c>
      <c r="AK521" t="str">
        <f>VLOOKUP(S521,Assets!$B$11:$C$26,2,TRUE)</f>
        <v>Up to $3.000</v>
      </c>
    </row>
    <row r="522" spans="1:37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VLOOKUP(A522,Assets!$B$7:$C$11,2,TRUE)</f>
        <v>46 to 55 years old</v>
      </c>
      <c r="AK522" t="str">
        <f>VLOOKUP(S522,Assets!$B$11:$C$26,2,TRUE)</f>
        <v>$7.001 to $12.000</v>
      </c>
    </row>
    <row r="523" spans="1:37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VLOOKUP(A523,Assets!$B$7:$C$11,2,TRUE)</f>
        <v>26 to 35 years old</v>
      </c>
      <c r="AK523" t="str">
        <f>VLOOKUP(S523,Assets!$B$11:$C$26,2,TRUE)</f>
        <v>$3.001 to $7.000</v>
      </c>
    </row>
    <row r="524" spans="1:37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VLOOKUP(A524,Assets!$B$7:$C$11,2,TRUE)</f>
        <v>36 to 45 years old</v>
      </c>
      <c r="AK524" t="str">
        <f>VLOOKUP(S524,Assets!$B$11:$C$26,2,TRUE)</f>
        <v>$3.001 to $7.000</v>
      </c>
    </row>
    <row r="525" spans="1:37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VLOOKUP(A525,Assets!$B$7:$C$11,2,TRUE)</f>
        <v>46 to 55 years old</v>
      </c>
      <c r="AK525" t="str">
        <f>VLOOKUP(S525,Assets!$B$11:$C$26,2,TRUE)</f>
        <v>$3.001 to $7.000</v>
      </c>
    </row>
    <row r="526" spans="1:37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VLOOKUP(A526,Assets!$B$7:$C$11,2,TRUE)</f>
        <v>26 to 35 years old</v>
      </c>
      <c r="AK526" t="str">
        <f>VLOOKUP(S526,Assets!$B$11:$C$26,2,TRUE)</f>
        <v>$7.001 to $12.000</v>
      </c>
    </row>
    <row r="527" spans="1:37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VLOOKUP(A527,Assets!$B$7:$C$11,2,TRUE)</f>
        <v>18 to 25 years old</v>
      </c>
      <c r="AK527" t="str">
        <f>VLOOKUP(S527,Assets!$B$11:$C$26,2,TRUE)</f>
        <v>$3.001 to $7.000</v>
      </c>
    </row>
    <row r="528" spans="1:37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VLOOKUP(A528,Assets!$B$7:$C$11,2,TRUE)</f>
        <v>36 to 45 years old</v>
      </c>
      <c r="AK528" t="str">
        <f>VLOOKUP(S528,Assets!$B$11:$C$26,2,TRUE)</f>
        <v>$3.001 to $7.000</v>
      </c>
    </row>
    <row r="529" spans="1:37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VLOOKUP(A529,Assets!$B$7:$C$11,2,TRUE)</f>
        <v>26 to 35 years old</v>
      </c>
      <c r="AK529" t="str">
        <f>VLOOKUP(S529,Assets!$B$11:$C$26,2,TRUE)</f>
        <v>$3.001 to $7.000</v>
      </c>
    </row>
    <row r="530" spans="1:37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VLOOKUP(A530,Assets!$B$7:$C$11,2,TRUE)</f>
        <v>46 to 55 years old</v>
      </c>
      <c r="AK530" t="str">
        <f>VLOOKUP(S530,Assets!$B$11:$C$26,2,TRUE)</f>
        <v>$3.001 to $7.000</v>
      </c>
    </row>
    <row r="531" spans="1:37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VLOOKUP(A531,Assets!$B$7:$C$11,2,TRUE)</f>
        <v>36 to 45 years old</v>
      </c>
      <c r="AK531" t="str">
        <f>VLOOKUP(S531,Assets!$B$11:$C$26,2,TRUE)</f>
        <v>$7.001 to $12.000</v>
      </c>
    </row>
    <row r="532" spans="1:37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VLOOKUP(A532,Assets!$B$7:$C$11,2,TRUE)</f>
        <v>26 to 35 years old</v>
      </c>
      <c r="AK532" t="str">
        <f>VLOOKUP(S532,Assets!$B$11:$C$26,2,TRUE)</f>
        <v>$7.001 to $12.000</v>
      </c>
    </row>
    <row r="533" spans="1:37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VLOOKUP(A533,Assets!$B$7:$C$11,2,TRUE)</f>
        <v>26 to 35 years old</v>
      </c>
      <c r="AK533" t="str">
        <f>VLOOKUP(S533,Assets!$B$11:$C$26,2,TRUE)</f>
        <v>$7.001 to $12.000</v>
      </c>
    </row>
    <row r="534" spans="1:37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VLOOKUP(A534,Assets!$B$7:$C$11,2,TRUE)</f>
        <v>46 to 55 years old</v>
      </c>
      <c r="AK534" t="str">
        <f>VLOOKUP(S534,Assets!$B$11:$C$26,2,TRUE)</f>
        <v>$3.001 to $7.000</v>
      </c>
    </row>
    <row r="535" spans="1:37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VLOOKUP(A535,Assets!$B$7:$C$11,2,TRUE)</f>
        <v>36 to 45 years old</v>
      </c>
      <c r="AK535" t="str">
        <f>VLOOKUP(S535,Assets!$B$11:$C$26,2,TRUE)</f>
        <v>$7.001 to $12.000</v>
      </c>
    </row>
    <row r="536" spans="1:37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VLOOKUP(A536,Assets!$B$7:$C$11,2,TRUE)</f>
        <v>46 to 55 years old</v>
      </c>
      <c r="AK536" t="str">
        <f>VLOOKUP(S536,Assets!$B$11:$C$26,2,TRUE)</f>
        <v>Over $12.000</v>
      </c>
    </row>
    <row r="537" spans="1:37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VLOOKUP(A537,Assets!$B$7:$C$11,2,TRUE)</f>
        <v>36 to 45 years old</v>
      </c>
      <c r="AK537" t="str">
        <f>VLOOKUP(S537,Assets!$B$11:$C$26,2,TRUE)</f>
        <v>Over $12.000</v>
      </c>
    </row>
    <row r="538" spans="1:37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VLOOKUP(A538,Assets!$B$7:$C$11,2,TRUE)</f>
        <v>56 years or older</v>
      </c>
      <c r="AK538" t="str">
        <f>VLOOKUP(S538,Assets!$B$11:$C$26,2,TRUE)</f>
        <v>$3.001 to $7.000</v>
      </c>
    </row>
    <row r="539" spans="1:37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VLOOKUP(A539,Assets!$B$7:$C$11,2,TRUE)</f>
        <v>26 to 35 years old</v>
      </c>
      <c r="AK539" t="str">
        <f>VLOOKUP(S539,Assets!$B$11:$C$26,2,TRUE)</f>
        <v>$7.001 to $12.000</v>
      </c>
    </row>
    <row r="540" spans="1:37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VLOOKUP(A540,Assets!$B$7:$C$11,2,TRUE)</f>
        <v>36 to 45 years old</v>
      </c>
      <c r="AK540" t="str">
        <f>VLOOKUP(S540,Assets!$B$11:$C$26,2,TRUE)</f>
        <v>Over $12.000</v>
      </c>
    </row>
    <row r="541" spans="1:37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VLOOKUP(A541,Assets!$B$7:$C$11,2,TRUE)</f>
        <v>46 to 55 years old</v>
      </c>
      <c r="AK541" t="str">
        <f>VLOOKUP(S541,Assets!$B$11:$C$26,2,TRUE)</f>
        <v>$3.001 to $7.000</v>
      </c>
    </row>
    <row r="542" spans="1:37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VLOOKUP(A542,Assets!$B$7:$C$11,2,TRUE)</f>
        <v>26 to 35 years old</v>
      </c>
      <c r="AK542" t="str">
        <f>VLOOKUP(S542,Assets!$B$11:$C$26,2,TRUE)</f>
        <v>Up to $3.000</v>
      </c>
    </row>
    <row r="543" spans="1:37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VLOOKUP(A543,Assets!$B$7:$C$11,2,TRUE)</f>
        <v>36 to 45 years old</v>
      </c>
      <c r="AK543" t="str">
        <f>VLOOKUP(S543,Assets!$B$11:$C$26,2,TRUE)</f>
        <v>$7.001 to $12.000</v>
      </c>
    </row>
    <row r="544" spans="1:37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VLOOKUP(A544,Assets!$B$7:$C$11,2,TRUE)</f>
        <v>36 to 45 years old</v>
      </c>
      <c r="AK544" t="str">
        <f>VLOOKUP(S544,Assets!$B$11:$C$26,2,TRUE)</f>
        <v>$7.001 to $12.000</v>
      </c>
    </row>
    <row r="545" spans="1:37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VLOOKUP(A545,Assets!$B$7:$C$11,2,TRUE)</f>
        <v>36 to 45 years old</v>
      </c>
      <c r="AK545" t="str">
        <f>VLOOKUP(S545,Assets!$B$11:$C$26,2,TRUE)</f>
        <v>$3.001 to $7.000</v>
      </c>
    </row>
    <row r="546" spans="1:37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VLOOKUP(A546,Assets!$B$7:$C$11,2,TRUE)</f>
        <v>46 to 55 years old</v>
      </c>
      <c r="AK546" t="str">
        <f>VLOOKUP(S546,Assets!$B$11:$C$26,2,TRUE)</f>
        <v>Over $12.000</v>
      </c>
    </row>
    <row r="547" spans="1:37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VLOOKUP(A547,Assets!$B$7:$C$11,2,TRUE)</f>
        <v>26 to 35 years old</v>
      </c>
      <c r="AK547" t="str">
        <f>VLOOKUP(S547,Assets!$B$11:$C$26,2,TRUE)</f>
        <v>$3.001 to $7.000</v>
      </c>
    </row>
    <row r="548" spans="1:37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VLOOKUP(A548,Assets!$B$7:$C$11,2,TRUE)</f>
        <v>26 to 35 years old</v>
      </c>
      <c r="AK548" t="str">
        <f>VLOOKUP(S548,Assets!$B$11:$C$26,2,TRUE)</f>
        <v>Up to $3.000</v>
      </c>
    </row>
    <row r="549" spans="1:37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VLOOKUP(A549,Assets!$B$7:$C$11,2,TRUE)</f>
        <v>36 to 45 years old</v>
      </c>
      <c r="AK549" t="str">
        <f>VLOOKUP(S549,Assets!$B$11:$C$26,2,TRUE)</f>
        <v>Up to $3.000</v>
      </c>
    </row>
    <row r="550" spans="1:37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VLOOKUP(A550,Assets!$B$7:$C$11,2,TRUE)</f>
        <v>36 to 45 years old</v>
      </c>
      <c r="AK550" t="str">
        <f>VLOOKUP(S550,Assets!$B$11:$C$26,2,TRUE)</f>
        <v>$3.001 to $7.000</v>
      </c>
    </row>
    <row r="551" spans="1:37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VLOOKUP(A551,Assets!$B$7:$C$11,2,TRUE)</f>
        <v>26 to 35 years old</v>
      </c>
      <c r="AK551" t="str">
        <f>VLOOKUP(S551,Assets!$B$11:$C$26,2,TRUE)</f>
        <v>$3.001 to $7.000</v>
      </c>
    </row>
    <row r="552" spans="1:37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VLOOKUP(A552,Assets!$B$7:$C$11,2,TRUE)</f>
        <v>18 to 25 years old</v>
      </c>
      <c r="AK552" t="str">
        <f>VLOOKUP(S552,Assets!$B$11:$C$26,2,TRUE)</f>
        <v>Up to $3.000</v>
      </c>
    </row>
    <row r="553" spans="1:37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VLOOKUP(A553,Assets!$B$7:$C$11,2,TRUE)</f>
        <v>36 to 45 years old</v>
      </c>
      <c r="AK553" t="str">
        <f>VLOOKUP(S553,Assets!$B$11:$C$26,2,TRUE)</f>
        <v>$3.001 to $7.000</v>
      </c>
    </row>
    <row r="554" spans="1:37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VLOOKUP(A554,Assets!$B$7:$C$11,2,TRUE)</f>
        <v>56 years or older</v>
      </c>
      <c r="AK554" t="str">
        <f>VLOOKUP(S554,Assets!$B$11:$C$26,2,TRUE)</f>
        <v>$7.001 to $12.000</v>
      </c>
    </row>
    <row r="555" spans="1:37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VLOOKUP(A555,Assets!$B$7:$C$11,2,TRUE)</f>
        <v>36 to 45 years old</v>
      </c>
      <c r="AK555" t="str">
        <f>VLOOKUP(S555,Assets!$B$11:$C$26,2,TRUE)</f>
        <v>Up to $3.000</v>
      </c>
    </row>
    <row r="556" spans="1:37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VLOOKUP(A556,Assets!$B$7:$C$11,2,TRUE)</f>
        <v>26 to 35 years old</v>
      </c>
      <c r="AK556" t="str">
        <f>VLOOKUP(S556,Assets!$B$11:$C$26,2,TRUE)</f>
        <v>$3.001 to $7.000</v>
      </c>
    </row>
    <row r="557" spans="1:37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VLOOKUP(A557,Assets!$B$7:$C$11,2,TRUE)</f>
        <v>26 to 35 years old</v>
      </c>
      <c r="AK557" t="str">
        <f>VLOOKUP(S557,Assets!$B$11:$C$26,2,TRUE)</f>
        <v>Up to $3.000</v>
      </c>
    </row>
    <row r="558" spans="1:37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VLOOKUP(A558,Assets!$B$7:$C$11,2,TRUE)</f>
        <v>46 to 55 years old</v>
      </c>
      <c r="AK558" t="str">
        <f>VLOOKUP(S558,Assets!$B$11:$C$26,2,TRUE)</f>
        <v>Up to $3.000</v>
      </c>
    </row>
    <row r="559" spans="1:37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VLOOKUP(A559,Assets!$B$7:$C$11,2,TRUE)</f>
        <v>26 to 35 years old</v>
      </c>
      <c r="AK559" t="str">
        <f>VLOOKUP(S559,Assets!$B$11:$C$26,2,TRUE)</f>
        <v>$3.001 to $7.000</v>
      </c>
    </row>
    <row r="560" spans="1:37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VLOOKUP(A560,Assets!$B$7:$C$11,2,TRUE)</f>
        <v>26 to 35 years old</v>
      </c>
      <c r="AK560" t="str">
        <f>VLOOKUP(S560,Assets!$B$11:$C$26,2,TRUE)</f>
        <v>$3.001 to $7.000</v>
      </c>
    </row>
    <row r="561" spans="1:37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VLOOKUP(A561,Assets!$B$7:$C$11,2,TRUE)</f>
        <v>36 to 45 years old</v>
      </c>
      <c r="AK561" t="str">
        <f>VLOOKUP(S561,Assets!$B$11:$C$26,2,TRUE)</f>
        <v>$3.001 to $7.000</v>
      </c>
    </row>
    <row r="562" spans="1:37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VLOOKUP(A562,Assets!$B$7:$C$11,2,TRUE)</f>
        <v>26 to 35 years old</v>
      </c>
      <c r="AK562" t="str">
        <f>VLOOKUP(S562,Assets!$B$11:$C$26,2,TRUE)</f>
        <v>$3.001 to $7.000</v>
      </c>
    </row>
    <row r="563" spans="1:37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VLOOKUP(A563,Assets!$B$7:$C$11,2,TRUE)</f>
        <v>46 to 55 years old</v>
      </c>
      <c r="AK563" t="str">
        <f>VLOOKUP(S563,Assets!$B$11:$C$26,2,TRUE)</f>
        <v>Over $12.000</v>
      </c>
    </row>
    <row r="564" spans="1:37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VLOOKUP(A564,Assets!$B$7:$C$11,2,TRUE)</f>
        <v>26 to 35 years old</v>
      </c>
      <c r="AK564" t="str">
        <f>VLOOKUP(S564,Assets!$B$11:$C$26,2,TRUE)</f>
        <v>Up to $3.000</v>
      </c>
    </row>
    <row r="565" spans="1:37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VLOOKUP(A565,Assets!$B$7:$C$11,2,TRUE)</f>
        <v>18 to 25 years old</v>
      </c>
      <c r="AK565" t="str">
        <f>VLOOKUP(S565,Assets!$B$11:$C$26,2,TRUE)</f>
        <v>$3.001 to $7.000</v>
      </c>
    </row>
    <row r="566" spans="1:37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VLOOKUP(A566,Assets!$B$7:$C$11,2,TRUE)</f>
        <v>36 to 45 years old</v>
      </c>
      <c r="AK566" t="str">
        <f>VLOOKUP(S566,Assets!$B$11:$C$26,2,TRUE)</f>
        <v>$3.001 to $7.000</v>
      </c>
    </row>
    <row r="567" spans="1:37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VLOOKUP(A567,Assets!$B$7:$C$11,2,TRUE)</f>
        <v>18 to 25 years old</v>
      </c>
      <c r="AK567" t="str">
        <f>VLOOKUP(S567,Assets!$B$11:$C$26,2,TRUE)</f>
        <v>$3.001 to $7.000</v>
      </c>
    </row>
    <row r="568" spans="1:37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VLOOKUP(A568,Assets!$B$7:$C$11,2,TRUE)</f>
        <v>46 to 55 years old</v>
      </c>
      <c r="AK568" t="str">
        <f>VLOOKUP(S568,Assets!$B$11:$C$26,2,TRUE)</f>
        <v>$3.001 to $7.000</v>
      </c>
    </row>
    <row r="569" spans="1:37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VLOOKUP(A569,Assets!$B$7:$C$11,2,TRUE)</f>
        <v>26 to 35 years old</v>
      </c>
      <c r="AK569" t="str">
        <f>VLOOKUP(S569,Assets!$B$11:$C$26,2,TRUE)</f>
        <v>$3.001 to $7.000</v>
      </c>
    </row>
    <row r="570" spans="1:37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VLOOKUP(A570,Assets!$B$7:$C$11,2,TRUE)</f>
        <v>46 to 55 years old</v>
      </c>
      <c r="AK570" t="str">
        <f>VLOOKUP(S570,Assets!$B$11:$C$26,2,TRUE)</f>
        <v>Over $12.000</v>
      </c>
    </row>
    <row r="571" spans="1:37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VLOOKUP(A571,Assets!$B$7:$C$11,2,TRUE)</f>
        <v>36 to 45 years old</v>
      </c>
      <c r="AK571" t="str">
        <f>VLOOKUP(S571,Assets!$B$11:$C$26,2,TRUE)</f>
        <v>$7.001 to $12.000</v>
      </c>
    </row>
    <row r="572" spans="1:37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VLOOKUP(A572,Assets!$B$7:$C$11,2,TRUE)</f>
        <v>46 to 55 years old</v>
      </c>
      <c r="AK572" t="str">
        <f>VLOOKUP(S572,Assets!$B$11:$C$26,2,TRUE)</f>
        <v>$3.001 to $7.000</v>
      </c>
    </row>
    <row r="573" spans="1:37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VLOOKUP(A573,Assets!$B$7:$C$11,2,TRUE)</f>
        <v>26 to 35 years old</v>
      </c>
      <c r="AK573" t="str">
        <f>VLOOKUP(S573,Assets!$B$11:$C$26,2,TRUE)</f>
        <v>$3.001 to $7.000</v>
      </c>
    </row>
    <row r="574" spans="1:37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VLOOKUP(A574,Assets!$B$7:$C$11,2,TRUE)</f>
        <v>26 to 35 years old</v>
      </c>
      <c r="AK574" t="str">
        <f>VLOOKUP(S574,Assets!$B$11:$C$26,2,TRUE)</f>
        <v>$3.001 to $7.000</v>
      </c>
    </row>
    <row r="575" spans="1:37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VLOOKUP(A575,Assets!$B$7:$C$11,2,TRUE)</f>
        <v>26 to 35 years old</v>
      </c>
      <c r="AK575" t="str">
        <f>VLOOKUP(S575,Assets!$B$11:$C$26,2,TRUE)</f>
        <v>$3.001 to $7.000</v>
      </c>
    </row>
    <row r="576" spans="1:37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VLOOKUP(A576,Assets!$B$7:$C$11,2,TRUE)</f>
        <v>26 to 35 years old</v>
      </c>
      <c r="AK576" t="str">
        <f>VLOOKUP(S576,Assets!$B$11:$C$26,2,TRUE)</f>
        <v>$3.001 to $7.000</v>
      </c>
    </row>
    <row r="577" spans="1:37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VLOOKUP(A577,Assets!$B$7:$C$11,2,TRUE)</f>
        <v>46 to 55 years old</v>
      </c>
      <c r="AK577" t="str">
        <f>VLOOKUP(S577,Assets!$B$11:$C$26,2,TRUE)</f>
        <v>$3.001 to $7.000</v>
      </c>
    </row>
    <row r="578" spans="1:37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VLOOKUP(A578,Assets!$B$7:$C$11,2,TRUE)</f>
        <v>26 to 35 years old</v>
      </c>
      <c r="AK578" t="str">
        <f>VLOOKUP(S578,Assets!$B$11:$C$26,2,TRUE)</f>
        <v>$3.001 to $7.000</v>
      </c>
    </row>
    <row r="579" spans="1:37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VLOOKUP(A579,Assets!$B$7:$C$11,2,TRUE)</f>
        <v>36 to 45 years old</v>
      </c>
      <c r="AK579" t="str">
        <f>VLOOKUP(S579,Assets!$B$11:$C$26,2,TRUE)</f>
        <v>Up to $3.000</v>
      </c>
    </row>
    <row r="580" spans="1:37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VLOOKUP(A580,Assets!$B$7:$C$11,2,TRUE)</f>
        <v>36 to 45 years old</v>
      </c>
      <c r="AK580" t="str">
        <f>VLOOKUP(S580,Assets!$B$11:$C$26,2,TRUE)</f>
        <v>$3.001 to $7.000</v>
      </c>
    </row>
    <row r="581" spans="1:37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VLOOKUP(A581,Assets!$B$7:$C$11,2,TRUE)</f>
        <v>26 to 35 years old</v>
      </c>
      <c r="AK581" t="str">
        <f>VLOOKUP(S581,Assets!$B$11:$C$26,2,TRUE)</f>
        <v>$3.001 to $7.000</v>
      </c>
    </row>
    <row r="582" spans="1:37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VLOOKUP(A582,Assets!$B$7:$C$11,2,TRUE)</f>
        <v>26 to 35 years old</v>
      </c>
      <c r="AK582" t="str">
        <f>VLOOKUP(S582,Assets!$B$11:$C$26,2,TRUE)</f>
        <v>Up to $3.000</v>
      </c>
    </row>
    <row r="583" spans="1:37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VLOOKUP(A583,Assets!$B$7:$C$11,2,TRUE)</f>
        <v>26 to 35 years old</v>
      </c>
      <c r="AK583" t="str">
        <f>VLOOKUP(S583,Assets!$B$11:$C$26,2,TRUE)</f>
        <v>$3.001 to $7.000</v>
      </c>
    </row>
    <row r="584" spans="1:37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VLOOKUP(A584,Assets!$B$7:$C$11,2,TRUE)</f>
        <v>36 to 45 years old</v>
      </c>
      <c r="AK584" t="str">
        <f>VLOOKUP(S584,Assets!$B$11:$C$26,2,TRUE)</f>
        <v>$3.001 to $7.000</v>
      </c>
    </row>
    <row r="585" spans="1:37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VLOOKUP(A585,Assets!$B$7:$C$11,2,TRUE)</f>
        <v>26 to 35 years old</v>
      </c>
      <c r="AK585" t="str">
        <f>VLOOKUP(S585,Assets!$B$11:$C$26,2,TRUE)</f>
        <v>$3.001 to $7.000</v>
      </c>
    </row>
    <row r="586" spans="1:37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VLOOKUP(A586,Assets!$B$7:$C$11,2,TRUE)</f>
        <v>36 to 45 years old</v>
      </c>
      <c r="AK586" t="str">
        <f>VLOOKUP(S586,Assets!$B$11:$C$26,2,TRUE)</f>
        <v>Over $12.000</v>
      </c>
    </row>
    <row r="587" spans="1:37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VLOOKUP(A587,Assets!$B$7:$C$11,2,TRUE)</f>
        <v>18 to 25 years old</v>
      </c>
      <c r="AK587" t="str">
        <f>VLOOKUP(S587,Assets!$B$11:$C$26,2,TRUE)</f>
        <v>Up to $3.000</v>
      </c>
    </row>
    <row r="588" spans="1:37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VLOOKUP(A588,Assets!$B$7:$C$11,2,TRUE)</f>
        <v>18 to 25 years old</v>
      </c>
      <c r="AK588" t="str">
        <f>VLOOKUP(S588,Assets!$B$11:$C$26,2,TRUE)</f>
        <v>Up to $3.000</v>
      </c>
    </row>
    <row r="589" spans="1:37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VLOOKUP(A589,Assets!$B$7:$C$11,2,TRUE)</f>
        <v>46 to 55 years old</v>
      </c>
      <c r="AK589" t="str">
        <f>VLOOKUP(S589,Assets!$B$11:$C$26,2,TRUE)</f>
        <v>$3.001 to $7.000</v>
      </c>
    </row>
    <row r="590" spans="1:37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VLOOKUP(A590,Assets!$B$7:$C$11,2,TRUE)</f>
        <v>46 to 55 years old</v>
      </c>
      <c r="AK590" t="str">
        <f>VLOOKUP(S590,Assets!$B$11:$C$26,2,TRUE)</f>
        <v>Over $12.000</v>
      </c>
    </row>
    <row r="591" spans="1:37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VLOOKUP(A591,Assets!$B$7:$C$11,2,TRUE)</f>
        <v>26 to 35 years old</v>
      </c>
      <c r="AK591" t="str">
        <f>VLOOKUP(S591,Assets!$B$11:$C$26,2,TRUE)</f>
        <v>Up to $3.000</v>
      </c>
    </row>
    <row r="592" spans="1:37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VLOOKUP(A592,Assets!$B$7:$C$11,2,TRUE)</f>
        <v>26 to 35 years old</v>
      </c>
      <c r="AK592" t="str">
        <f>VLOOKUP(S592,Assets!$B$11:$C$26,2,TRUE)</f>
        <v>$7.001 to $12.000</v>
      </c>
    </row>
    <row r="593" spans="1:37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VLOOKUP(A593,Assets!$B$7:$C$11,2,TRUE)</f>
        <v>26 to 35 years old</v>
      </c>
      <c r="AK593" t="str">
        <f>VLOOKUP(S593,Assets!$B$11:$C$26,2,TRUE)</f>
        <v>$3.001 to $7.000</v>
      </c>
    </row>
    <row r="594" spans="1:37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VLOOKUP(A594,Assets!$B$7:$C$11,2,TRUE)</f>
        <v>46 to 55 years old</v>
      </c>
      <c r="AK594" t="str">
        <f>VLOOKUP(S594,Assets!$B$11:$C$26,2,TRUE)</f>
        <v>Over $12.000</v>
      </c>
    </row>
    <row r="595" spans="1:37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VLOOKUP(A595,Assets!$B$7:$C$11,2,TRUE)</f>
        <v>36 to 45 years old</v>
      </c>
      <c r="AK595" t="str">
        <f>VLOOKUP(S595,Assets!$B$11:$C$26,2,TRUE)</f>
        <v>$3.001 to $7.000</v>
      </c>
    </row>
    <row r="596" spans="1:37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VLOOKUP(A596,Assets!$B$7:$C$11,2,TRUE)</f>
        <v>26 to 35 years old</v>
      </c>
      <c r="AK596" t="str">
        <f>VLOOKUP(S596,Assets!$B$11:$C$26,2,TRUE)</f>
        <v>Up to $3.000</v>
      </c>
    </row>
    <row r="597" spans="1:37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VLOOKUP(A597,Assets!$B$7:$C$11,2,TRUE)</f>
        <v>56 years or older</v>
      </c>
      <c r="AK597" t="str">
        <f>VLOOKUP(S597,Assets!$B$11:$C$26,2,TRUE)</f>
        <v>Over $12.000</v>
      </c>
    </row>
    <row r="598" spans="1:37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VLOOKUP(A598,Assets!$B$7:$C$11,2,TRUE)</f>
        <v>26 to 35 years old</v>
      </c>
      <c r="AK598" t="str">
        <f>VLOOKUP(S598,Assets!$B$11:$C$26,2,TRUE)</f>
        <v>Up to $3.000</v>
      </c>
    </row>
    <row r="599" spans="1:37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VLOOKUP(A599,Assets!$B$7:$C$11,2,TRUE)</f>
        <v>36 to 45 years old</v>
      </c>
      <c r="AK599" t="str">
        <f>VLOOKUP(S599,Assets!$B$11:$C$26,2,TRUE)</f>
        <v>$3.001 to $7.000</v>
      </c>
    </row>
    <row r="600" spans="1:37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VLOOKUP(A600,Assets!$B$7:$C$11,2,TRUE)</f>
        <v>26 to 35 years old</v>
      </c>
      <c r="AK600" t="str">
        <f>VLOOKUP(S600,Assets!$B$11:$C$26,2,TRUE)</f>
        <v>$3.001 to $7.000</v>
      </c>
    </row>
    <row r="601" spans="1:37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VLOOKUP(A601,Assets!$B$7:$C$11,2,TRUE)</f>
        <v>36 to 45 years old</v>
      </c>
      <c r="AK601" t="str">
        <f>VLOOKUP(S601,Assets!$B$11:$C$26,2,TRUE)</f>
        <v>Up to $3.000</v>
      </c>
    </row>
    <row r="602" spans="1:37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VLOOKUP(A602,Assets!$B$7:$C$11,2,TRUE)</f>
        <v>26 to 35 years old</v>
      </c>
      <c r="AK602" t="str">
        <f>VLOOKUP(S602,Assets!$B$11:$C$26,2,TRUE)</f>
        <v>$3.001 to $7.000</v>
      </c>
    </row>
    <row r="603" spans="1:37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VLOOKUP(A603,Assets!$B$7:$C$11,2,TRUE)</f>
        <v>36 to 45 years old</v>
      </c>
      <c r="AK603" t="str">
        <f>VLOOKUP(S603,Assets!$B$11:$C$26,2,TRUE)</f>
        <v>$3.001 to $7.000</v>
      </c>
    </row>
    <row r="604" spans="1:37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VLOOKUP(A604,Assets!$B$7:$C$11,2,TRUE)</f>
        <v>26 to 35 years old</v>
      </c>
      <c r="AK604" t="str">
        <f>VLOOKUP(S604,Assets!$B$11:$C$26,2,TRUE)</f>
        <v>$3.001 to $7.000</v>
      </c>
    </row>
    <row r="605" spans="1:37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VLOOKUP(A605,Assets!$B$7:$C$11,2,TRUE)</f>
        <v>36 to 45 years old</v>
      </c>
      <c r="AK605" t="str">
        <f>VLOOKUP(S605,Assets!$B$11:$C$26,2,TRUE)</f>
        <v>Up to $3.000</v>
      </c>
    </row>
    <row r="606" spans="1:37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VLOOKUP(A606,Assets!$B$7:$C$11,2,TRUE)</f>
        <v>36 to 45 years old</v>
      </c>
      <c r="AK606" t="str">
        <f>VLOOKUP(S606,Assets!$B$11:$C$26,2,TRUE)</f>
        <v>$3.001 to $7.000</v>
      </c>
    </row>
    <row r="607" spans="1:37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VLOOKUP(A607,Assets!$B$7:$C$11,2,TRUE)</f>
        <v>36 to 45 years old</v>
      </c>
      <c r="AK607" t="str">
        <f>VLOOKUP(S607,Assets!$B$11:$C$26,2,TRUE)</f>
        <v>$3.001 to $7.000</v>
      </c>
    </row>
    <row r="608" spans="1:37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VLOOKUP(A608,Assets!$B$7:$C$11,2,TRUE)</f>
        <v>26 to 35 years old</v>
      </c>
      <c r="AK608" t="str">
        <f>VLOOKUP(S608,Assets!$B$11:$C$26,2,TRUE)</f>
        <v>Up to $3.000</v>
      </c>
    </row>
    <row r="609" spans="1:37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VLOOKUP(A609,Assets!$B$7:$C$11,2,TRUE)</f>
        <v>46 to 55 years old</v>
      </c>
      <c r="AK609" t="str">
        <f>VLOOKUP(S609,Assets!$B$11:$C$26,2,TRUE)</f>
        <v>$7.001 to $12.000</v>
      </c>
    </row>
    <row r="610" spans="1:37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VLOOKUP(A610,Assets!$B$7:$C$11,2,TRUE)</f>
        <v>46 to 55 years old</v>
      </c>
      <c r="AK610" t="str">
        <f>VLOOKUP(S610,Assets!$B$11:$C$26,2,TRUE)</f>
        <v>$3.001 to $7.000</v>
      </c>
    </row>
    <row r="611" spans="1:37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VLOOKUP(A611,Assets!$B$7:$C$11,2,TRUE)</f>
        <v>36 to 45 years old</v>
      </c>
      <c r="AK611" t="str">
        <f>VLOOKUP(S611,Assets!$B$11:$C$26,2,TRUE)</f>
        <v>Over $12.000</v>
      </c>
    </row>
    <row r="612" spans="1:37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VLOOKUP(A612,Assets!$B$7:$C$11,2,TRUE)</f>
        <v>26 to 35 years old</v>
      </c>
      <c r="AK612" t="str">
        <f>VLOOKUP(S612,Assets!$B$11:$C$26,2,TRUE)</f>
        <v>Over $12.000</v>
      </c>
    </row>
    <row r="613" spans="1:37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VLOOKUP(A613,Assets!$B$7:$C$11,2,TRUE)</f>
        <v>26 to 35 years old</v>
      </c>
      <c r="AK613" t="str">
        <f>VLOOKUP(S613,Assets!$B$11:$C$26,2,TRUE)</f>
        <v>$7.001 to $12.000</v>
      </c>
    </row>
    <row r="614" spans="1:37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VLOOKUP(A614,Assets!$B$7:$C$11,2,TRUE)</f>
        <v>26 to 35 years old</v>
      </c>
      <c r="AK614" t="str">
        <f>VLOOKUP(S614,Assets!$B$11:$C$26,2,TRUE)</f>
        <v>$3.001 to $7.000</v>
      </c>
    </row>
    <row r="615" spans="1:37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VLOOKUP(A615,Assets!$B$7:$C$11,2,TRUE)</f>
        <v>26 to 35 years old</v>
      </c>
      <c r="AK615" t="str">
        <f>VLOOKUP(S615,Assets!$B$11:$C$26,2,TRUE)</f>
        <v>$3.001 to $7.000</v>
      </c>
    </row>
    <row r="616" spans="1:37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VLOOKUP(A616,Assets!$B$7:$C$11,2,TRUE)</f>
        <v>26 to 35 years old</v>
      </c>
      <c r="AK616" t="str">
        <f>VLOOKUP(S616,Assets!$B$11:$C$26,2,TRUE)</f>
        <v>Up to $3.000</v>
      </c>
    </row>
    <row r="617" spans="1:37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VLOOKUP(A617,Assets!$B$7:$C$11,2,TRUE)</f>
        <v>26 to 35 years old</v>
      </c>
      <c r="AK617" t="str">
        <f>VLOOKUP(S617,Assets!$B$11:$C$26,2,TRUE)</f>
        <v>Up to $3.000</v>
      </c>
    </row>
    <row r="618" spans="1:37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VLOOKUP(A618,Assets!$B$7:$C$11,2,TRUE)</f>
        <v>46 to 55 years old</v>
      </c>
      <c r="AK618" t="str">
        <f>VLOOKUP(S618,Assets!$B$11:$C$26,2,TRUE)</f>
        <v>Over $12.000</v>
      </c>
    </row>
    <row r="619" spans="1:37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VLOOKUP(A619,Assets!$B$7:$C$11,2,TRUE)</f>
        <v>36 to 45 years old</v>
      </c>
      <c r="AK619" t="str">
        <f>VLOOKUP(S619,Assets!$B$11:$C$26,2,TRUE)</f>
        <v>$3.001 to $7.000</v>
      </c>
    </row>
    <row r="620" spans="1:37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VLOOKUP(A620,Assets!$B$7:$C$11,2,TRUE)</f>
        <v>18 to 25 years old</v>
      </c>
      <c r="AK620" t="str">
        <f>VLOOKUP(S620,Assets!$B$11:$C$26,2,TRUE)</f>
        <v>$3.001 to $7.000</v>
      </c>
    </row>
    <row r="621" spans="1:37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VLOOKUP(A621,Assets!$B$7:$C$11,2,TRUE)</f>
        <v>26 to 35 years old</v>
      </c>
      <c r="AK621" t="str">
        <f>VLOOKUP(S621,Assets!$B$11:$C$26,2,TRUE)</f>
        <v>$3.001 to $7.000</v>
      </c>
    </row>
    <row r="622" spans="1:37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VLOOKUP(A622,Assets!$B$7:$C$11,2,TRUE)</f>
        <v>26 to 35 years old</v>
      </c>
      <c r="AK622" t="str">
        <f>VLOOKUP(S622,Assets!$B$11:$C$26,2,TRUE)</f>
        <v>Up to $3.000</v>
      </c>
    </row>
    <row r="623" spans="1:37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VLOOKUP(A623,Assets!$B$7:$C$11,2,TRUE)</f>
        <v>36 to 45 years old</v>
      </c>
      <c r="AK623" t="str">
        <f>VLOOKUP(S623,Assets!$B$11:$C$26,2,TRUE)</f>
        <v>$3.001 to $7.000</v>
      </c>
    </row>
    <row r="624" spans="1:37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VLOOKUP(A624,Assets!$B$7:$C$11,2,TRUE)</f>
        <v>26 to 35 years old</v>
      </c>
      <c r="AK624" t="str">
        <f>VLOOKUP(S624,Assets!$B$11:$C$26,2,TRUE)</f>
        <v>$3.001 to $7.000</v>
      </c>
    </row>
    <row r="625" spans="1:37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VLOOKUP(A625,Assets!$B$7:$C$11,2,TRUE)</f>
        <v>26 to 35 years old</v>
      </c>
      <c r="AK625" t="str">
        <f>VLOOKUP(S625,Assets!$B$11:$C$26,2,TRUE)</f>
        <v>$3.001 to $7.000</v>
      </c>
    </row>
    <row r="626" spans="1:37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VLOOKUP(A626,Assets!$B$7:$C$11,2,TRUE)</f>
        <v>46 to 55 years old</v>
      </c>
      <c r="AK626" t="str">
        <f>VLOOKUP(S626,Assets!$B$11:$C$26,2,TRUE)</f>
        <v>$7.001 to $12.000</v>
      </c>
    </row>
    <row r="627" spans="1:37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VLOOKUP(A627,Assets!$B$7:$C$11,2,TRUE)</f>
        <v>36 to 45 years old</v>
      </c>
      <c r="AK627" t="str">
        <f>VLOOKUP(S627,Assets!$B$11:$C$26,2,TRUE)</f>
        <v>$7.001 to $12.000</v>
      </c>
    </row>
    <row r="628" spans="1:37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VLOOKUP(A628,Assets!$B$7:$C$11,2,TRUE)</f>
        <v>26 to 35 years old</v>
      </c>
      <c r="AK628" t="str">
        <f>VLOOKUP(S628,Assets!$B$11:$C$26,2,TRUE)</f>
        <v>$3.001 to $7.000</v>
      </c>
    </row>
    <row r="629" spans="1:37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VLOOKUP(A629,Assets!$B$7:$C$11,2,TRUE)</f>
        <v>46 to 55 years old</v>
      </c>
      <c r="AK629" t="str">
        <f>VLOOKUP(S629,Assets!$B$11:$C$26,2,TRUE)</f>
        <v>Over $12.000</v>
      </c>
    </row>
    <row r="630" spans="1:37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VLOOKUP(A630,Assets!$B$7:$C$11,2,TRUE)</f>
        <v>36 to 45 years old</v>
      </c>
      <c r="AK630" t="str">
        <f>VLOOKUP(S630,Assets!$B$11:$C$26,2,TRUE)</f>
        <v>$3.001 to $7.000</v>
      </c>
    </row>
    <row r="631" spans="1:37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VLOOKUP(A631,Assets!$B$7:$C$11,2,TRUE)</f>
        <v>26 to 35 years old</v>
      </c>
      <c r="AK631" t="str">
        <f>VLOOKUP(S631,Assets!$B$11:$C$26,2,TRUE)</f>
        <v>$3.001 to $7.000</v>
      </c>
    </row>
    <row r="632" spans="1:37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VLOOKUP(A632,Assets!$B$7:$C$11,2,TRUE)</f>
        <v>18 to 25 years old</v>
      </c>
      <c r="AK632" t="str">
        <f>VLOOKUP(S632,Assets!$B$11:$C$26,2,TRUE)</f>
        <v>$3.001 to $7.000</v>
      </c>
    </row>
    <row r="633" spans="1:37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VLOOKUP(A633,Assets!$B$7:$C$11,2,TRUE)</f>
        <v>36 to 45 years old</v>
      </c>
      <c r="AK633" t="str">
        <f>VLOOKUP(S633,Assets!$B$11:$C$26,2,TRUE)</f>
        <v>Up to $3.000</v>
      </c>
    </row>
    <row r="634" spans="1:37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VLOOKUP(A634,Assets!$B$7:$C$11,2,TRUE)</f>
        <v>36 to 45 years old</v>
      </c>
      <c r="AK634" t="str">
        <f>VLOOKUP(S634,Assets!$B$11:$C$26,2,TRUE)</f>
        <v>Up to $3.000</v>
      </c>
    </row>
    <row r="635" spans="1:37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VLOOKUP(A635,Assets!$B$7:$C$11,2,TRUE)</f>
        <v>36 to 45 years old</v>
      </c>
      <c r="AK635" t="str">
        <f>VLOOKUP(S635,Assets!$B$11:$C$26,2,TRUE)</f>
        <v>Up to $3.000</v>
      </c>
    </row>
    <row r="636" spans="1:37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VLOOKUP(A636,Assets!$B$7:$C$11,2,TRUE)</f>
        <v>18 to 25 years old</v>
      </c>
      <c r="AK636" t="str">
        <f>VLOOKUP(S636,Assets!$B$11:$C$26,2,TRUE)</f>
        <v>$3.001 to $7.000</v>
      </c>
    </row>
    <row r="637" spans="1:37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VLOOKUP(A637,Assets!$B$7:$C$11,2,TRUE)</f>
        <v>26 to 35 years old</v>
      </c>
      <c r="AK637" t="str">
        <f>VLOOKUP(S637,Assets!$B$11:$C$26,2,TRUE)</f>
        <v>$7.001 to $12.000</v>
      </c>
    </row>
    <row r="638" spans="1:37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VLOOKUP(A638,Assets!$B$7:$C$11,2,TRUE)</f>
        <v>26 to 35 years old</v>
      </c>
      <c r="AK638" t="str">
        <f>VLOOKUP(S638,Assets!$B$11:$C$26,2,TRUE)</f>
        <v>Up to $3.000</v>
      </c>
    </row>
    <row r="639" spans="1:37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VLOOKUP(A639,Assets!$B$7:$C$11,2,TRUE)</f>
        <v>26 to 35 years old</v>
      </c>
      <c r="AK639" t="str">
        <f>VLOOKUP(S639,Assets!$B$11:$C$26,2,TRUE)</f>
        <v>Up to $3.000</v>
      </c>
    </row>
    <row r="640" spans="1:37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VLOOKUP(A640,Assets!$B$7:$C$11,2,TRUE)</f>
        <v>18 to 25 years old</v>
      </c>
      <c r="AK640" t="str">
        <f>VLOOKUP(S640,Assets!$B$11:$C$26,2,TRUE)</f>
        <v>$3.001 to $7.000</v>
      </c>
    </row>
    <row r="641" spans="1:37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VLOOKUP(A641,Assets!$B$7:$C$11,2,TRUE)</f>
        <v>46 to 55 years old</v>
      </c>
      <c r="AK641" t="str">
        <f>VLOOKUP(S641,Assets!$B$11:$C$26,2,TRUE)</f>
        <v>$3.001 to $7.000</v>
      </c>
    </row>
    <row r="642" spans="1:37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VLOOKUP(A642,Assets!$B$7:$C$11,2,TRUE)</f>
        <v>18 to 25 years old</v>
      </c>
      <c r="AK642" t="str">
        <f>VLOOKUP(S642,Assets!$B$11:$C$26,2,TRUE)</f>
        <v>$3.001 to $7.000</v>
      </c>
    </row>
    <row r="643" spans="1:37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VLOOKUP(A643,Assets!$B$7:$C$11,2,TRUE)</f>
        <v>26 to 35 years old</v>
      </c>
      <c r="AK643" t="str">
        <f>VLOOKUP(S643,Assets!$B$11:$C$26,2,TRUE)</f>
        <v>$3.001 to $7.000</v>
      </c>
    </row>
    <row r="644" spans="1:37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VLOOKUP(A644,Assets!$B$7:$C$11,2,TRUE)</f>
        <v>36 to 45 years old</v>
      </c>
      <c r="AK644" t="str">
        <f>VLOOKUP(S644,Assets!$B$11:$C$26,2,TRUE)</f>
        <v>Up to $3.000</v>
      </c>
    </row>
    <row r="645" spans="1:37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VLOOKUP(A645,Assets!$B$7:$C$11,2,TRUE)</f>
        <v>36 to 45 years old</v>
      </c>
      <c r="AK645" t="str">
        <f>VLOOKUP(S645,Assets!$B$11:$C$26,2,TRUE)</f>
        <v>$3.001 to $7.000</v>
      </c>
    </row>
    <row r="646" spans="1:37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VLOOKUP(A646,Assets!$B$7:$C$11,2,TRUE)</f>
        <v>26 to 35 years old</v>
      </c>
      <c r="AK646" t="str">
        <f>VLOOKUP(S646,Assets!$B$11:$C$26,2,TRUE)</f>
        <v>Up to $3.000</v>
      </c>
    </row>
    <row r="647" spans="1:37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VLOOKUP(A647,Assets!$B$7:$C$11,2,TRUE)</f>
        <v>26 to 35 years old</v>
      </c>
      <c r="AK647" t="str">
        <f>VLOOKUP(S647,Assets!$B$11:$C$26,2,TRUE)</f>
        <v>Up to $3.000</v>
      </c>
    </row>
    <row r="648" spans="1:37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VLOOKUP(A648,Assets!$B$7:$C$11,2,TRUE)</f>
        <v>46 to 55 years old</v>
      </c>
      <c r="AK648" t="str">
        <f>VLOOKUP(S648,Assets!$B$11:$C$26,2,TRUE)</f>
        <v>$7.001 to $12.000</v>
      </c>
    </row>
    <row r="649" spans="1:37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VLOOKUP(A649,Assets!$B$7:$C$11,2,TRUE)</f>
        <v>26 to 35 years old</v>
      </c>
      <c r="AK649" t="str">
        <f>VLOOKUP(S649,Assets!$B$11:$C$26,2,TRUE)</f>
        <v>$7.001 to $12.000</v>
      </c>
    </row>
    <row r="650" spans="1:37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VLOOKUP(A650,Assets!$B$7:$C$11,2,TRUE)</f>
        <v>36 to 45 years old</v>
      </c>
      <c r="AK650" t="str">
        <f>VLOOKUP(S650,Assets!$B$11:$C$26,2,TRUE)</f>
        <v>Up to $3.000</v>
      </c>
    </row>
    <row r="651" spans="1:37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VLOOKUP(A651,Assets!$B$7:$C$11,2,TRUE)</f>
        <v>46 to 55 years old</v>
      </c>
      <c r="AK651" t="str">
        <f>VLOOKUP(S651,Assets!$B$11:$C$26,2,TRUE)</f>
        <v>Over $12.000</v>
      </c>
    </row>
    <row r="652" spans="1:37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VLOOKUP(A652,Assets!$B$7:$C$11,2,TRUE)</f>
        <v>36 to 45 years old</v>
      </c>
      <c r="AK652" t="str">
        <f>VLOOKUP(S652,Assets!$B$11:$C$26,2,TRUE)</f>
        <v>$3.001 to $7.000</v>
      </c>
    </row>
    <row r="653" spans="1:37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VLOOKUP(A653,Assets!$B$7:$C$11,2,TRUE)</f>
        <v>46 to 55 years old</v>
      </c>
      <c r="AK653" t="str">
        <f>VLOOKUP(S653,Assets!$B$11:$C$26,2,TRUE)</f>
        <v>$3.001 to $7.000</v>
      </c>
    </row>
    <row r="654" spans="1:37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VLOOKUP(A654,Assets!$B$7:$C$11,2,TRUE)</f>
        <v>36 to 45 years old</v>
      </c>
      <c r="AK654" t="str">
        <f>VLOOKUP(S654,Assets!$B$11:$C$26,2,TRUE)</f>
        <v>$7.001 to $12.000</v>
      </c>
    </row>
    <row r="655" spans="1:37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VLOOKUP(A655,Assets!$B$7:$C$11,2,TRUE)</f>
        <v>46 to 55 years old</v>
      </c>
      <c r="AK655" t="str">
        <f>VLOOKUP(S655,Assets!$B$11:$C$26,2,TRUE)</f>
        <v>Over $12.000</v>
      </c>
    </row>
    <row r="656" spans="1:37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VLOOKUP(A656,Assets!$B$7:$C$11,2,TRUE)</f>
        <v>36 to 45 years old</v>
      </c>
      <c r="AK656" t="str">
        <f>VLOOKUP(S656,Assets!$B$11:$C$26,2,TRUE)</f>
        <v>$3.001 to $7.000</v>
      </c>
    </row>
    <row r="657" spans="1:37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VLOOKUP(A657,Assets!$B$7:$C$11,2,TRUE)</f>
        <v>26 to 35 years old</v>
      </c>
      <c r="AK657" t="str">
        <f>VLOOKUP(S657,Assets!$B$11:$C$26,2,TRUE)</f>
        <v>Up to $3.000</v>
      </c>
    </row>
    <row r="658" spans="1:37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VLOOKUP(A658,Assets!$B$7:$C$11,2,TRUE)</f>
        <v>26 to 35 years old</v>
      </c>
      <c r="AK658" t="str">
        <f>VLOOKUP(S658,Assets!$B$11:$C$26,2,TRUE)</f>
        <v>Up to $3.000</v>
      </c>
    </row>
    <row r="659" spans="1:37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VLOOKUP(A659,Assets!$B$7:$C$11,2,TRUE)</f>
        <v>26 to 35 years old</v>
      </c>
      <c r="AK659" t="str">
        <f>VLOOKUP(S659,Assets!$B$11:$C$26,2,TRUE)</f>
        <v>Up to $3.000</v>
      </c>
    </row>
    <row r="660" spans="1:37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VLOOKUP(A660,Assets!$B$7:$C$11,2,TRUE)</f>
        <v>36 to 45 years old</v>
      </c>
      <c r="AK660" t="str">
        <f>VLOOKUP(S660,Assets!$B$11:$C$26,2,TRUE)</f>
        <v>Up to $3.000</v>
      </c>
    </row>
    <row r="661" spans="1:37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VLOOKUP(A661,Assets!$B$7:$C$11,2,TRUE)</f>
        <v>26 to 35 years old</v>
      </c>
      <c r="AK661" t="str">
        <f>VLOOKUP(S661,Assets!$B$11:$C$26,2,TRUE)</f>
        <v>$3.001 to $7.000</v>
      </c>
    </row>
    <row r="662" spans="1:37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VLOOKUP(A662,Assets!$B$7:$C$11,2,TRUE)</f>
        <v>56 years or older</v>
      </c>
      <c r="AK662" t="str">
        <f>VLOOKUP(S662,Assets!$B$11:$C$26,2,TRUE)</f>
        <v>Up to $3.000</v>
      </c>
    </row>
    <row r="663" spans="1:37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VLOOKUP(A663,Assets!$B$7:$C$11,2,TRUE)</f>
        <v>36 to 45 years old</v>
      </c>
      <c r="AK663" t="str">
        <f>VLOOKUP(S663,Assets!$B$11:$C$26,2,TRUE)</f>
        <v>$3.001 to $7.000</v>
      </c>
    </row>
    <row r="664" spans="1:37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VLOOKUP(A664,Assets!$B$7:$C$11,2,TRUE)</f>
        <v>18 to 25 years old</v>
      </c>
      <c r="AK664" t="str">
        <f>VLOOKUP(S664,Assets!$B$11:$C$26,2,TRUE)</f>
        <v>Up to $3.000</v>
      </c>
    </row>
    <row r="665" spans="1:37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VLOOKUP(A665,Assets!$B$7:$C$11,2,TRUE)</f>
        <v>18 to 25 years old</v>
      </c>
      <c r="AK665" t="str">
        <f>VLOOKUP(S665,Assets!$B$11:$C$26,2,TRUE)</f>
        <v>Up to $3.000</v>
      </c>
    </row>
    <row r="666" spans="1:37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VLOOKUP(A666,Assets!$B$7:$C$11,2,TRUE)</f>
        <v>36 to 45 years old</v>
      </c>
      <c r="AK666" t="str">
        <f>VLOOKUP(S666,Assets!$B$11:$C$26,2,TRUE)</f>
        <v>$3.001 to $7.000</v>
      </c>
    </row>
    <row r="667" spans="1:37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VLOOKUP(A667,Assets!$B$7:$C$11,2,TRUE)</f>
        <v>46 to 55 years old</v>
      </c>
      <c r="AK667" t="str">
        <f>VLOOKUP(S667,Assets!$B$11:$C$26,2,TRUE)</f>
        <v>$3.001 to $7.000</v>
      </c>
    </row>
    <row r="668" spans="1:37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VLOOKUP(A668,Assets!$B$7:$C$11,2,TRUE)</f>
        <v>18 to 25 years old</v>
      </c>
      <c r="AK668" t="str">
        <f>VLOOKUP(S668,Assets!$B$11:$C$26,2,TRUE)</f>
        <v>$3.001 to $7.000</v>
      </c>
    </row>
    <row r="669" spans="1:37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VLOOKUP(A669,Assets!$B$7:$C$11,2,TRUE)</f>
        <v>36 to 45 years old</v>
      </c>
      <c r="AK669" t="str">
        <f>VLOOKUP(S669,Assets!$B$11:$C$26,2,TRUE)</f>
        <v>Up to $3.000</v>
      </c>
    </row>
    <row r="670" spans="1:37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VLOOKUP(A670,Assets!$B$7:$C$11,2,TRUE)</f>
        <v>26 to 35 years old</v>
      </c>
      <c r="AK670" t="str">
        <f>VLOOKUP(S670,Assets!$B$11:$C$26,2,TRUE)</f>
        <v>Up to $3.000</v>
      </c>
    </row>
    <row r="671" spans="1:37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VLOOKUP(A671,Assets!$B$7:$C$11,2,TRUE)</f>
        <v>36 to 45 years old</v>
      </c>
      <c r="AK671" t="str">
        <f>VLOOKUP(S671,Assets!$B$11:$C$26,2,TRUE)</f>
        <v>Up to $3.000</v>
      </c>
    </row>
    <row r="672" spans="1:37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VLOOKUP(A672,Assets!$B$7:$C$11,2,TRUE)</f>
        <v>26 to 35 years old</v>
      </c>
      <c r="AK672" t="str">
        <f>VLOOKUP(S672,Assets!$B$11:$C$26,2,TRUE)</f>
        <v>Up to $3.000</v>
      </c>
    </row>
    <row r="673" spans="1:37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VLOOKUP(A673,Assets!$B$7:$C$11,2,TRUE)</f>
        <v>26 to 35 years old</v>
      </c>
      <c r="AK673" t="str">
        <f>VLOOKUP(S673,Assets!$B$11:$C$26,2,TRUE)</f>
        <v>Up to $3.000</v>
      </c>
    </row>
    <row r="674" spans="1:37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VLOOKUP(A674,Assets!$B$7:$C$11,2,TRUE)</f>
        <v>36 to 45 years old</v>
      </c>
      <c r="AK674" t="str">
        <f>VLOOKUP(S674,Assets!$B$11:$C$26,2,TRUE)</f>
        <v>$3.001 to $7.000</v>
      </c>
    </row>
    <row r="675" spans="1:37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VLOOKUP(A675,Assets!$B$7:$C$11,2,TRUE)</f>
        <v>26 to 35 years old</v>
      </c>
      <c r="AK675" t="str">
        <f>VLOOKUP(S675,Assets!$B$11:$C$26,2,TRUE)</f>
        <v>Up to $3.000</v>
      </c>
    </row>
    <row r="676" spans="1:37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VLOOKUP(A676,Assets!$B$7:$C$11,2,TRUE)</f>
        <v>56 years or older</v>
      </c>
      <c r="AK676" t="str">
        <f>VLOOKUP(S676,Assets!$B$11:$C$26,2,TRUE)</f>
        <v>$7.001 to $12.000</v>
      </c>
    </row>
    <row r="677" spans="1:37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VLOOKUP(A677,Assets!$B$7:$C$11,2,TRUE)</f>
        <v>26 to 35 years old</v>
      </c>
      <c r="AK677" t="str">
        <f>VLOOKUP(S677,Assets!$B$11:$C$26,2,TRUE)</f>
        <v>Up to $3.000</v>
      </c>
    </row>
    <row r="678" spans="1:37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VLOOKUP(A678,Assets!$B$7:$C$11,2,TRUE)</f>
        <v>26 to 35 years old</v>
      </c>
      <c r="AK678" t="str">
        <f>VLOOKUP(S678,Assets!$B$11:$C$26,2,TRUE)</f>
        <v>$3.001 to $7.000</v>
      </c>
    </row>
    <row r="679" spans="1:37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VLOOKUP(A679,Assets!$B$7:$C$11,2,TRUE)</f>
        <v>46 to 55 years old</v>
      </c>
      <c r="AK679" t="str">
        <f>VLOOKUP(S679,Assets!$B$11:$C$26,2,TRUE)</f>
        <v>$7.001 to $12.000</v>
      </c>
    </row>
    <row r="680" spans="1:37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VLOOKUP(A680,Assets!$B$7:$C$11,2,TRUE)</f>
        <v>46 to 55 years old</v>
      </c>
      <c r="AK680" t="str">
        <f>VLOOKUP(S680,Assets!$B$11:$C$26,2,TRUE)</f>
        <v>Up to $3.000</v>
      </c>
    </row>
    <row r="681" spans="1:37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VLOOKUP(A681,Assets!$B$7:$C$11,2,TRUE)</f>
        <v>26 to 35 years old</v>
      </c>
      <c r="AK681" t="str">
        <f>VLOOKUP(S681,Assets!$B$11:$C$26,2,TRUE)</f>
        <v>$3.001 to $7.000</v>
      </c>
    </row>
    <row r="682" spans="1:37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VLOOKUP(A682,Assets!$B$7:$C$11,2,TRUE)</f>
        <v>36 to 45 years old</v>
      </c>
      <c r="AK682" t="str">
        <f>VLOOKUP(S682,Assets!$B$11:$C$26,2,TRUE)</f>
        <v>$3.001 to $7.000</v>
      </c>
    </row>
    <row r="683" spans="1:37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VLOOKUP(A683,Assets!$B$7:$C$11,2,TRUE)</f>
        <v>36 to 45 years old</v>
      </c>
      <c r="AK683" t="str">
        <f>VLOOKUP(S683,Assets!$B$11:$C$26,2,TRUE)</f>
        <v>Over $12.000</v>
      </c>
    </row>
    <row r="684" spans="1:37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VLOOKUP(A684,Assets!$B$7:$C$11,2,TRUE)</f>
        <v>26 to 35 years old</v>
      </c>
      <c r="AK684" t="str">
        <f>VLOOKUP(S684,Assets!$B$11:$C$26,2,TRUE)</f>
        <v>Up to $3.000</v>
      </c>
    </row>
    <row r="685" spans="1:37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VLOOKUP(A685,Assets!$B$7:$C$11,2,TRUE)</f>
        <v>18 to 25 years old</v>
      </c>
      <c r="AK685" t="str">
        <f>VLOOKUP(S685,Assets!$B$11:$C$26,2,TRUE)</f>
        <v>Up to $3.000</v>
      </c>
    </row>
    <row r="686" spans="1:37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VLOOKUP(A686,Assets!$B$7:$C$11,2,TRUE)</f>
        <v>36 to 45 years old</v>
      </c>
      <c r="AK686" t="str">
        <f>VLOOKUP(S686,Assets!$B$11:$C$26,2,TRUE)</f>
        <v>$7.001 to $12.000</v>
      </c>
    </row>
    <row r="687" spans="1:37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VLOOKUP(A687,Assets!$B$7:$C$11,2,TRUE)</f>
        <v>26 to 35 years old</v>
      </c>
      <c r="AK687" t="str">
        <f>VLOOKUP(S687,Assets!$B$11:$C$26,2,TRUE)</f>
        <v>$3.001 to $7.000</v>
      </c>
    </row>
    <row r="688" spans="1:37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VLOOKUP(A688,Assets!$B$7:$C$11,2,TRUE)</f>
        <v>36 to 45 years old</v>
      </c>
      <c r="AK688" t="str">
        <f>VLOOKUP(S688,Assets!$B$11:$C$26,2,TRUE)</f>
        <v>$3.001 to $7.000</v>
      </c>
    </row>
    <row r="689" spans="1:37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VLOOKUP(A689,Assets!$B$7:$C$11,2,TRUE)</f>
        <v>36 to 45 years old</v>
      </c>
      <c r="AK689" t="str">
        <f>VLOOKUP(S689,Assets!$B$11:$C$26,2,TRUE)</f>
        <v>Up to $3.000</v>
      </c>
    </row>
    <row r="690" spans="1:37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VLOOKUP(A690,Assets!$B$7:$C$11,2,TRUE)</f>
        <v>18 to 25 years old</v>
      </c>
      <c r="AK690" t="str">
        <f>VLOOKUP(S690,Assets!$B$11:$C$26,2,TRUE)</f>
        <v>Up to $3.000</v>
      </c>
    </row>
    <row r="691" spans="1:37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VLOOKUP(A691,Assets!$B$7:$C$11,2,TRUE)</f>
        <v>18 to 25 years old</v>
      </c>
      <c r="AK691" t="str">
        <f>VLOOKUP(S691,Assets!$B$11:$C$26,2,TRUE)</f>
        <v>Up to $3.000</v>
      </c>
    </row>
    <row r="692" spans="1:37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VLOOKUP(A692,Assets!$B$7:$C$11,2,TRUE)</f>
        <v>26 to 35 years old</v>
      </c>
      <c r="AK692" t="str">
        <f>VLOOKUP(S692,Assets!$B$11:$C$26,2,TRUE)</f>
        <v>$3.001 to $7.000</v>
      </c>
    </row>
    <row r="693" spans="1:37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VLOOKUP(A693,Assets!$B$7:$C$11,2,TRUE)</f>
        <v>36 to 45 years old</v>
      </c>
      <c r="AK693" t="str">
        <f>VLOOKUP(S693,Assets!$B$11:$C$26,2,TRUE)</f>
        <v>$3.001 to $7.000</v>
      </c>
    </row>
    <row r="694" spans="1:37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VLOOKUP(A694,Assets!$B$7:$C$11,2,TRUE)</f>
        <v>26 to 35 years old</v>
      </c>
      <c r="AK694" t="str">
        <f>VLOOKUP(S694,Assets!$B$11:$C$26,2,TRUE)</f>
        <v>$3.001 to $7.000</v>
      </c>
    </row>
    <row r="695" spans="1:37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VLOOKUP(A695,Assets!$B$7:$C$11,2,TRUE)</f>
        <v>36 to 45 years old</v>
      </c>
      <c r="AK695" t="str">
        <f>VLOOKUP(S695,Assets!$B$11:$C$26,2,TRUE)</f>
        <v>$7.001 to $12.000</v>
      </c>
    </row>
    <row r="696" spans="1:37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VLOOKUP(A696,Assets!$B$7:$C$11,2,TRUE)</f>
        <v>26 to 35 years old</v>
      </c>
      <c r="AK696" t="str">
        <f>VLOOKUP(S696,Assets!$B$11:$C$26,2,TRUE)</f>
        <v>$3.001 to $7.000</v>
      </c>
    </row>
    <row r="697" spans="1:37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VLOOKUP(A697,Assets!$B$7:$C$11,2,TRUE)</f>
        <v>36 to 45 years old</v>
      </c>
      <c r="AK697" t="str">
        <f>VLOOKUP(S697,Assets!$B$11:$C$26,2,TRUE)</f>
        <v>$7.001 to $12.000</v>
      </c>
    </row>
    <row r="698" spans="1:37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VLOOKUP(A698,Assets!$B$7:$C$11,2,TRUE)</f>
        <v>36 to 45 years old</v>
      </c>
      <c r="AK698" t="str">
        <f>VLOOKUP(S698,Assets!$B$11:$C$26,2,TRUE)</f>
        <v>$3.001 to $7.000</v>
      </c>
    </row>
    <row r="699" spans="1:37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VLOOKUP(A699,Assets!$B$7:$C$11,2,TRUE)</f>
        <v>26 to 35 years old</v>
      </c>
      <c r="AK699" t="str">
        <f>VLOOKUP(S699,Assets!$B$11:$C$26,2,TRUE)</f>
        <v>Up to $3.000</v>
      </c>
    </row>
    <row r="700" spans="1:37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VLOOKUP(A700,Assets!$B$7:$C$11,2,TRUE)</f>
        <v>26 to 35 years old</v>
      </c>
      <c r="AK700" t="str">
        <f>VLOOKUP(S700,Assets!$B$11:$C$26,2,TRUE)</f>
        <v>$3.001 to $7.000</v>
      </c>
    </row>
    <row r="701" spans="1:37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VLOOKUP(A701,Assets!$B$7:$C$11,2,TRUE)</f>
        <v>46 to 55 years old</v>
      </c>
      <c r="AK701" t="str">
        <f>VLOOKUP(S701,Assets!$B$11:$C$26,2,TRUE)</f>
        <v>Over $12.000</v>
      </c>
    </row>
    <row r="702" spans="1:37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VLOOKUP(A702,Assets!$B$7:$C$11,2,TRUE)</f>
        <v>56 years or older</v>
      </c>
      <c r="AK702" t="str">
        <f>VLOOKUP(S702,Assets!$B$11:$C$26,2,TRUE)</f>
        <v>Up to $3.000</v>
      </c>
    </row>
    <row r="703" spans="1:37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VLOOKUP(A703,Assets!$B$7:$C$11,2,TRUE)</f>
        <v>46 to 55 years old</v>
      </c>
      <c r="AK703" t="str">
        <f>VLOOKUP(S703,Assets!$B$11:$C$26,2,TRUE)</f>
        <v>Over $12.000</v>
      </c>
    </row>
    <row r="704" spans="1:37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VLOOKUP(A704,Assets!$B$7:$C$11,2,TRUE)</f>
        <v>26 to 35 years old</v>
      </c>
      <c r="AK704" t="str">
        <f>VLOOKUP(S704,Assets!$B$11:$C$26,2,TRUE)</f>
        <v>$7.001 to $12.000</v>
      </c>
    </row>
    <row r="705" spans="1:37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VLOOKUP(A705,Assets!$B$7:$C$11,2,TRUE)</f>
        <v>36 to 45 years old</v>
      </c>
      <c r="AK705" t="str">
        <f>VLOOKUP(S705,Assets!$B$11:$C$26,2,TRUE)</f>
        <v>$3.001 to $7.000</v>
      </c>
    </row>
    <row r="706" spans="1:37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VLOOKUP(A706,Assets!$B$7:$C$11,2,TRUE)</f>
        <v>26 to 35 years old</v>
      </c>
      <c r="AK706" t="str">
        <f>VLOOKUP(S706,Assets!$B$11:$C$26,2,TRUE)</f>
        <v>$7.001 to $12.000</v>
      </c>
    </row>
    <row r="707" spans="1:37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VLOOKUP(A707,Assets!$B$7:$C$11,2,TRUE)</f>
        <v>36 to 45 years old</v>
      </c>
      <c r="AK707" t="str">
        <f>VLOOKUP(S707,Assets!$B$11:$C$26,2,TRUE)</f>
        <v>$7.001 to $12.000</v>
      </c>
    </row>
    <row r="708" spans="1:37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VLOOKUP(A708,Assets!$B$7:$C$11,2,TRUE)</f>
        <v>36 to 45 years old</v>
      </c>
      <c r="AK708" t="str">
        <f>VLOOKUP(S708,Assets!$B$11:$C$26,2,TRUE)</f>
        <v>Over $12.000</v>
      </c>
    </row>
    <row r="709" spans="1:37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VLOOKUP(A709,Assets!$B$7:$C$11,2,TRUE)</f>
        <v>46 to 55 years old</v>
      </c>
      <c r="AK709" t="str">
        <f>VLOOKUP(S709,Assets!$B$11:$C$26,2,TRUE)</f>
        <v>$3.001 to $7.000</v>
      </c>
    </row>
    <row r="710" spans="1:37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VLOOKUP(A710,Assets!$B$7:$C$11,2,TRUE)</f>
        <v>36 to 45 years old</v>
      </c>
      <c r="AK710" t="str">
        <f>VLOOKUP(S710,Assets!$B$11:$C$26,2,TRUE)</f>
        <v>$3.001 to $7.000</v>
      </c>
    </row>
    <row r="711" spans="1:37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VLOOKUP(A711,Assets!$B$7:$C$11,2,TRUE)</f>
        <v>26 to 35 years old</v>
      </c>
      <c r="AK711" t="str">
        <f>VLOOKUP(S711,Assets!$B$11:$C$26,2,TRUE)</f>
        <v>Up to $3.000</v>
      </c>
    </row>
    <row r="712" spans="1:37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VLOOKUP(A712,Assets!$B$7:$C$11,2,TRUE)</f>
        <v>26 to 35 years old</v>
      </c>
      <c r="AK712" t="str">
        <f>VLOOKUP(S712,Assets!$B$11:$C$26,2,TRUE)</f>
        <v>Over $12.000</v>
      </c>
    </row>
    <row r="713" spans="1:37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VLOOKUP(A713,Assets!$B$7:$C$11,2,TRUE)</f>
        <v>26 to 35 years old</v>
      </c>
      <c r="AK713" t="str">
        <f>VLOOKUP(S713,Assets!$B$11:$C$26,2,TRUE)</f>
        <v>Up to $3.000</v>
      </c>
    </row>
    <row r="714" spans="1:37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VLOOKUP(A714,Assets!$B$7:$C$11,2,TRUE)</f>
        <v>26 to 35 years old</v>
      </c>
      <c r="AK714" t="str">
        <f>VLOOKUP(S714,Assets!$B$11:$C$26,2,TRUE)</f>
        <v>$3.001 to $7.000</v>
      </c>
    </row>
    <row r="715" spans="1:37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VLOOKUP(A715,Assets!$B$7:$C$11,2,TRUE)</f>
        <v>36 to 45 years old</v>
      </c>
      <c r="AK715" t="str">
        <f>VLOOKUP(S715,Assets!$B$11:$C$26,2,TRUE)</f>
        <v>Up to $3.000</v>
      </c>
    </row>
    <row r="716" spans="1:37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VLOOKUP(A716,Assets!$B$7:$C$11,2,TRUE)</f>
        <v>46 to 55 years old</v>
      </c>
      <c r="AK716" t="str">
        <f>VLOOKUP(S716,Assets!$B$11:$C$26,2,TRUE)</f>
        <v>Over $12.000</v>
      </c>
    </row>
    <row r="717" spans="1:37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VLOOKUP(A717,Assets!$B$7:$C$11,2,TRUE)</f>
        <v>26 to 35 years old</v>
      </c>
      <c r="AK717" t="str">
        <f>VLOOKUP(S717,Assets!$B$11:$C$26,2,TRUE)</f>
        <v>$3.001 to $7.000</v>
      </c>
    </row>
    <row r="718" spans="1:37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VLOOKUP(A718,Assets!$B$7:$C$11,2,TRUE)</f>
        <v>36 to 45 years old</v>
      </c>
      <c r="AK718" t="str">
        <f>VLOOKUP(S718,Assets!$B$11:$C$26,2,TRUE)</f>
        <v>Over $12.000</v>
      </c>
    </row>
    <row r="719" spans="1:37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VLOOKUP(A719,Assets!$B$7:$C$11,2,TRUE)</f>
        <v>26 to 35 years old</v>
      </c>
      <c r="AK719" t="str">
        <f>VLOOKUP(S719,Assets!$B$11:$C$26,2,TRUE)</f>
        <v>Up to $3.000</v>
      </c>
    </row>
    <row r="720" spans="1:37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VLOOKUP(A720,Assets!$B$7:$C$11,2,TRUE)</f>
        <v>36 to 45 years old</v>
      </c>
      <c r="AK720" t="str">
        <f>VLOOKUP(S720,Assets!$B$11:$C$26,2,TRUE)</f>
        <v>$3.001 to $7.000</v>
      </c>
    </row>
    <row r="721" spans="1:37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VLOOKUP(A721,Assets!$B$7:$C$11,2,TRUE)</f>
        <v>46 to 55 years old</v>
      </c>
      <c r="AK721" t="str">
        <f>VLOOKUP(S721,Assets!$B$11:$C$26,2,TRUE)</f>
        <v>$3.001 to $7.000</v>
      </c>
    </row>
    <row r="722" spans="1:37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VLOOKUP(A722,Assets!$B$7:$C$11,2,TRUE)</f>
        <v>26 to 35 years old</v>
      </c>
      <c r="AK722" t="str">
        <f>VLOOKUP(S722,Assets!$B$11:$C$26,2,TRUE)</f>
        <v>Up to $3.000</v>
      </c>
    </row>
    <row r="723" spans="1:37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VLOOKUP(A723,Assets!$B$7:$C$11,2,TRUE)</f>
        <v>46 to 55 years old</v>
      </c>
      <c r="AK723" t="str">
        <f>VLOOKUP(S723,Assets!$B$11:$C$26,2,TRUE)</f>
        <v>Over $12.000</v>
      </c>
    </row>
    <row r="724" spans="1:37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VLOOKUP(A724,Assets!$B$7:$C$11,2,TRUE)</f>
        <v>36 to 45 years old</v>
      </c>
      <c r="AK724" t="str">
        <f>VLOOKUP(S724,Assets!$B$11:$C$26,2,TRUE)</f>
        <v>Up to $3.000</v>
      </c>
    </row>
    <row r="725" spans="1:37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VLOOKUP(A725,Assets!$B$7:$C$11,2,TRUE)</f>
        <v>46 to 55 years old</v>
      </c>
      <c r="AK725" t="str">
        <f>VLOOKUP(S725,Assets!$B$11:$C$26,2,TRUE)</f>
        <v>$7.001 to $12.000</v>
      </c>
    </row>
    <row r="726" spans="1:37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VLOOKUP(A726,Assets!$B$7:$C$11,2,TRUE)</f>
        <v>18 to 25 years old</v>
      </c>
      <c r="AK726" t="str">
        <f>VLOOKUP(S726,Assets!$B$11:$C$26,2,TRUE)</f>
        <v>$3.001 to $7.000</v>
      </c>
    </row>
    <row r="727" spans="1:37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VLOOKUP(A727,Assets!$B$7:$C$11,2,TRUE)</f>
        <v>26 to 35 years old</v>
      </c>
      <c r="AK727" t="str">
        <f>VLOOKUP(S727,Assets!$B$11:$C$26,2,TRUE)</f>
        <v>$3.001 to $7.000</v>
      </c>
    </row>
    <row r="728" spans="1:37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VLOOKUP(A728,Assets!$B$7:$C$11,2,TRUE)</f>
        <v>26 to 35 years old</v>
      </c>
      <c r="AK728" t="str">
        <f>VLOOKUP(S728,Assets!$B$11:$C$26,2,TRUE)</f>
        <v>$3.001 to $7.000</v>
      </c>
    </row>
    <row r="729" spans="1:37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VLOOKUP(A729,Assets!$B$7:$C$11,2,TRUE)</f>
        <v>18 to 25 years old</v>
      </c>
      <c r="AK729" t="str">
        <f>VLOOKUP(S729,Assets!$B$11:$C$26,2,TRUE)</f>
        <v>Up to $3.000</v>
      </c>
    </row>
    <row r="730" spans="1:37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VLOOKUP(A730,Assets!$B$7:$C$11,2,TRUE)</f>
        <v>46 to 55 years old</v>
      </c>
      <c r="AK730" t="str">
        <f>VLOOKUP(S730,Assets!$B$11:$C$26,2,TRUE)</f>
        <v>$7.001 to $12.000</v>
      </c>
    </row>
    <row r="731" spans="1:37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VLOOKUP(A731,Assets!$B$7:$C$11,2,TRUE)</f>
        <v>26 to 35 years old</v>
      </c>
      <c r="AK731" t="str">
        <f>VLOOKUP(S731,Assets!$B$11:$C$26,2,TRUE)</f>
        <v>$7.001 to $12.000</v>
      </c>
    </row>
    <row r="732" spans="1:37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VLOOKUP(A732,Assets!$B$7:$C$11,2,TRUE)</f>
        <v>26 to 35 years old</v>
      </c>
      <c r="AK732" t="str">
        <f>VLOOKUP(S732,Assets!$B$11:$C$26,2,TRUE)</f>
        <v>$7.001 to $12.000</v>
      </c>
    </row>
    <row r="733" spans="1:37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VLOOKUP(A733,Assets!$B$7:$C$11,2,TRUE)</f>
        <v>18 to 25 years old</v>
      </c>
      <c r="AK733" t="str">
        <f>VLOOKUP(S733,Assets!$B$11:$C$26,2,TRUE)</f>
        <v>Up to $3.000</v>
      </c>
    </row>
    <row r="734" spans="1:37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VLOOKUP(A734,Assets!$B$7:$C$11,2,TRUE)</f>
        <v>26 to 35 years old</v>
      </c>
      <c r="AK734" t="str">
        <f>VLOOKUP(S734,Assets!$B$11:$C$26,2,TRUE)</f>
        <v>Up to $3.000</v>
      </c>
    </row>
    <row r="735" spans="1:37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VLOOKUP(A735,Assets!$B$7:$C$11,2,TRUE)</f>
        <v>26 to 35 years old</v>
      </c>
      <c r="AK735" t="str">
        <f>VLOOKUP(S735,Assets!$B$11:$C$26,2,TRUE)</f>
        <v>$3.001 to $7.000</v>
      </c>
    </row>
    <row r="736" spans="1:37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VLOOKUP(A736,Assets!$B$7:$C$11,2,TRUE)</f>
        <v>18 to 25 years old</v>
      </c>
      <c r="AK736" t="str">
        <f>VLOOKUP(S736,Assets!$B$11:$C$26,2,TRUE)</f>
        <v>Up to $3.000</v>
      </c>
    </row>
    <row r="737" spans="1:37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VLOOKUP(A737,Assets!$B$7:$C$11,2,TRUE)</f>
        <v>46 to 55 years old</v>
      </c>
      <c r="AK737" t="str">
        <f>VLOOKUP(S737,Assets!$B$11:$C$26,2,TRUE)</f>
        <v>$3.001 to $7.000</v>
      </c>
    </row>
    <row r="738" spans="1:37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VLOOKUP(A738,Assets!$B$7:$C$11,2,TRUE)</f>
        <v>46 to 55 years old</v>
      </c>
      <c r="AK738" t="str">
        <f>VLOOKUP(S738,Assets!$B$11:$C$26,2,TRUE)</f>
        <v>$7.001 to $12.000</v>
      </c>
    </row>
    <row r="739" spans="1:37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VLOOKUP(A739,Assets!$B$7:$C$11,2,TRUE)</f>
        <v>36 to 45 years old</v>
      </c>
      <c r="AK739" t="str">
        <f>VLOOKUP(S739,Assets!$B$11:$C$26,2,TRUE)</f>
        <v>$3.001 to $7.000</v>
      </c>
    </row>
    <row r="740" spans="1:37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VLOOKUP(A740,Assets!$B$7:$C$11,2,TRUE)</f>
        <v>36 to 45 years old</v>
      </c>
      <c r="AK740" t="str">
        <f>VLOOKUP(S740,Assets!$B$11:$C$26,2,TRUE)</f>
        <v>Over $12.000</v>
      </c>
    </row>
    <row r="741" spans="1:37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VLOOKUP(A741,Assets!$B$7:$C$11,2,TRUE)</f>
        <v>26 to 35 years old</v>
      </c>
      <c r="AK741" t="str">
        <f>VLOOKUP(S741,Assets!$B$11:$C$26,2,TRUE)</f>
        <v>$3.001 to $7.000</v>
      </c>
    </row>
    <row r="742" spans="1:37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VLOOKUP(A742,Assets!$B$7:$C$11,2,TRUE)</f>
        <v>26 to 35 years old</v>
      </c>
      <c r="AK742" t="str">
        <f>VLOOKUP(S742,Assets!$B$11:$C$26,2,TRUE)</f>
        <v>$3.001 to $7.000</v>
      </c>
    </row>
    <row r="743" spans="1:37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VLOOKUP(A743,Assets!$B$7:$C$11,2,TRUE)</f>
        <v>36 to 45 years old</v>
      </c>
      <c r="AK743" t="str">
        <f>VLOOKUP(S743,Assets!$B$11:$C$26,2,TRUE)</f>
        <v>Over $12.000</v>
      </c>
    </row>
    <row r="744" spans="1:37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VLOOKUP(A744,Assets!$B$7:$C$11,2,TRUE)</f>
        <v>46 to 55 years old</v>
      </c>
      <c r="AK744" t="str">
        <f>VLOOKUP(S744,Assets!$B$11:$C$26,2,TRUE)</f>
        <v>Up to $3.000</v>
      </c>
    </row>
    <row r="745" spans="1:37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VLOOKUP(A745,Assets!$B$7:$C$11,2,TRUE)</f>
        <v>56 years or older</v>
      </c>
      <c r="AK745" t="str">
        <f>VLOOKUP(S745,Assets!$B$11:$C$26,2,TRUE)</f>
        <v>Over $12.000</v>
      </c>
    </row>
    <row r="746" spans="1:37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VLOOKUP(A746,Assets!$B$7:$C$11,2,TRUE)</f>
        <v>36 to 45 years old</v>
      </c>
      <c r="AK746" t="str">
        <f>VLOOKUP(S746,Assets!$B$11:$C$26,2,TRUE)</f>
        <v>$3.001 to $7.000</v>
      </c>
    </row>
    <row r="747" spans="1:37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VLOOKUP(A747,Assets!$B$7:$C$11,2,TRUE)</f>
        <v>46 to 55 years old</v>
      </c>
      <c r="AK747" t="str">
        <f>VLOOKUP(S747,Assets!$B$11:$C$26,2,TRUE)</f>
        <v>$3.001 to $7.000</v>
      </c>
    </row>
    <row r="748" spans="1:37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VLOOKUP(A748,Assets!$B$7:$C$11,2,TRUE)</f>
        <v>36 to 45 years old</v>
      </c>
      <c r="AK748" t="str">
        <f>VLOOKUP(S748,Assets!$B$11:$C$26,2,TRUE)</f>
        <v>Over $12.000</v>
      </c>
    </row>
    <row r="749" spans="1:37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VLOOKUP(A749,Assets!$B$7:$C$11,2,TRUE)</f>
        <v>36 to 45 years old</v>
      </c>
      <c r="AK749" t="str">
        <f>VLOOKUP(S749,Assets!$B$11:$C$26,2,TRUE)</f>
        <v>$3.001 to $7.000</v>
      </c>
    </row>
    <row r="750" spans="1:37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VLOOKUP(A750,Assets!$B$7:$C$11,2,TRUE)</f>
        <v>26 to 35 years old</v>
      </c>
      <c r="AK750" t="str">
        <f>VLOOKUP(S750,Assets!$B$11:$C$26,2,TRUE)</f>
        <v>$3.001 to $7.000</v>
      </c>
    </row>
    <row r="751" spans="1:37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VLOOKUP(A751,Assets!$B$7:$C$11,2,TRUE)</f>
        <v>46 to 55 years old</v>
      </c>
      <c r="AK751" t="str">
        <f>VLOOKUP(S751,Assets!$B$11:$C$26,2,TRUE)</f>
        <v>Over $12.000</v>
      </c>
    </row>
    <row r="752" spans="1:37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VLOOKUP(A752,Assets!$B$7:$C$11,2,TRUE)</f>
        <v>36 to 45 years old</v>
      </c>
      <c r="AK752" t="str">
        <f>VLOOKUP(S752,Assets!$B$11:$C$26,2,TRUE)</f>
        <v>Over $12.000</v>
      </c>
    </row>
    <row r="753" spans="1:37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VLOOKUP(A753,Assets!$B$7:$C$11,2,TRUE)</f>
        <v>46 to 55 years old</v>
      </c>
      <c r="AK753" t="str">
        <f>VLOOKUP(S753,Assets!$B$11:$C$26,2,TRUE)</f>
        <v>$3.001 to $7.000</v>
      </c>
    </row>
    <row r="754" spans="1:37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VLOOKUP(A754,Assets!$B$7:$C$11,2,TRUE)</f>
        <v>36 to 45 years old</v>
      </c>
      <c r="AK754" t="str">
        <f>VLOOKUP(S754,Assets!$B$11:$C$26,2,TRUE)</f>
        <v>Up to $3.000</v>
      </c>
    </row>
    <row r="755" spans="1:37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VLOOKUP(A755,Assets!$B$7:$C$11,2,TRUE)</f>
        <v>36 to 45 years old</v>
      </c>
      <c r="AK755" t="str">
        <f>VLOOKUP(S755,Assets!$B$11:$C$26,2,TRUE)</f>
        <v>$7.001 to $12.000</v>
      </c>
    </row>
    <row r="756" spans="1:37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VLOOKUP(A756,Assets!$B$7:$C$11,2,TRUE)</f>
        <v>26 to 35 years old</v>
      </c>
      <c r="AK756" t="str">
        <f>VLOOKUP(S756,Assets!$B$11:$C$26,2,TRUE)</f>
        <v>Up to $3.000</v>
      </c>
    </row>
    <row r="757" spans="1:37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VLOOKUP(A757,Assets!$B$7:$C$11,2,TRUE)</f>
        <v>36 to 45 years old</v>
      </c>
      <c r="AK757" t="str">
        <f>VLOOKUP(S757,Assets!$B$11:$C$26,2,TRUE)</f>
        <v>Over $12.000</v>
      </c>
    </row>
    <row r="758" spans="1:37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VLOOKUP(A758,Assets!$B$7:$C$11,2,TRUE)</f>
        <v>26 to 35 years old</v>
      </c>
      <c r="AK758" t="str">
        <f>VLOOKUP(S758,Assets!$B$11:$C$26,2,TRUE)</f>
        <v>$3.001 to $7.000</v>
      </c>
    </row>
    <row r="759" spans="1:37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VLOOKUP(A759,Assets!$B$7:$C$11,2,TRUE)</f>
        <v>26 to 35 years old</v>
      </c>
      <c r="AK759" t="str">
        <f>VLOOKUP(S759,Assets!$B$11:$C$26,2,TRUE)</f>
        <v>$7.001 to $12.000</v>
      </c>
    </row>
    <row r="760" spans="1:37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VLOOKUP(A760,Assets!$B$7:$C$11,2,TRUE)</f>
        <v>56 years or older</v>
      </c>
      <c r="AK760" t="str">
        <f>VLOOKUP(S760,Assets!$B$11:$C$26,2,TRUE)</f>
        <v>$7.001 to $12.000</v>
      </c>
    </row>
    <row r="761" spans="1:37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VLOOKUP(A761,Assets!$B$7:$C$11,2,TRUE)</f>
        <v>36 to 45 years old</v>
      </c>
      <c r="AK761" t="str">
        <f>VLOOKUP(S761,Assets!$B$11:$C$26,2,TRUE)</f>
        <v>Up to $3.000</v>
      </c>
    </row>
    <row r="762" spans="1:37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VLOOKUP(A762,Assets!$B$7:$C$11,2,TRUE)</f>
        <v>46 to 55 years old</v>
      </c>
      <c r="AK762" t="str">
        <f>VLOOKUP(S762,Assets!$B$11:$C$26,2,TRUE)</f>
        <v>$7.001 to $12.000</v>
      </c>
    </row>
    <row r="763" spans="1:37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VLOOKUP(A763,Assets!$B$7:$C$11,2,TRUE)</f>
        <v>36 to 45 years old</v>
      </c>
      <c r="AK763" t="str">
        <f>VLOOKUP(S763,Assets!$B$11:$C$26,2,TRUE)</f>
        <v>$3.001 to $7.000</v>
      </c>
    </row>
    <row r="764" spans="1:37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VLOOKUP(A764,Assets!$B$7:$C$11,2,TRUE)</f>
        <v>26 to 35 years old</v>
      </c>
      <c r="AK764" t="str">
        <f>VLOOKUP(S764,Assets!$B$11:$C$26,2,TRUE)</f>
        <v>Up to $3.000</v>
      </c>
    </row>
    <row r="765" spans="1:37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VLOOKUP(A765,Assets!$B$7:$C$11,2,TRUE)</f>
        <v>26 to 35 years old</v>
      </c>
      <c r="AK765" t="str">
        <f>VLOOKUP(S765,Assets!$B$11:$C$26,2,TRUE)</f>
        <v>Up to $3.000</v>
      </c>
    </row>
    <row r="766" spans="1:37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VLOOKUP(A766,Assets!$B$7:$C$11,2,TRUE)</f>
        <v>26 to 35 years old</v>
      </c>
      <c r="AK766" t="str">
        <f>VLOOKUP(S766,Assets!$B$11:$C$26,2,TRUE)</f>
        <v>Up to $3.000</v>
      </c>
    </row>
    <row r="767" spans="1:37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VLOOKUP(A767,Assets!$B$7:$C$11,2,TRUE)</f>
        <v>36 to 45 years old</v>
      </c>
      <c r="AK767" t="str">
        <f>VLOOKUP(S767,Assets!$B$11:$C$26,2,TRUE)</f>
        <v>Up to $3.000</v>
      </c>
    </row>
    <row r="768" spans="1:37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VLOOKUP(A768,Assets!$B$7:$C$11,2,TRUE)</f>
        <v>46 to 55 years old</v>
      </c>
      <c r="AK768" t="str">
        <f>VLOOKUP(S768,Assets!$B$11:$C$26,2,TRUE)</f>
        <v>Over $12.000</v>
      </c>
    </row>
    <row r="769" spans="1:37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VLOOKUP(A769,Assets!$B$7:$C$11,2,TRUE)</f>
        <v>36 to 45 years old</v>
      </c>
      <c r="AK769" t="str">
        <f>VLOOKUP(S769,Assets!$B$11:$C$26,2,TRUE)</f>
        <v>$3.001 to $7.000</v>
      </c>
    </row>
    <row r="770" spans="1:37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VLOOKUP(A770,Assets!$B$7:$C$11,2,TRUE)</f>
        <v>36 to 45 years old</v>
      </c>
      <c r="AK770" t="str">
        <f>VLOOKUP(S770,Assets!$B$11:$C$26,2,TRUE)</f>
        <v>$7.001 to $12.000</v>
      </c>
    </row>
    <row r="771" spans="1:37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VLOOKUP(A771,Assets!$B$7:$C$11,2,TRUE)</f>
        <v>26 to 35 years old</v>
      </c>
      <c r="AK771" t="str">
        <f>VLOOKUP(S771,Assets!$B$11:$C$26,2,TRUE)</f>
        <v>Up to $3.000</v>
      </c>
    </row>
    <row r="772" spans="1:37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VLOOKUP(A772,Assets!$B$7:$C$11,2,TRUE)</f>
        <v>46 to 55 years old</v>
      </c>
      <c r="AK772" t="str">
        <f>VLOOKUP(S772,Assets!$B$11:$C$26,2,TRUE)</f>
        <v>Over $12.000</v>
      </c>
    </row>
    <row r="773" spans="1:37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VLOOKUP(A773,Assets!$B$7:$C$11,2,TRUE)</f>
        <v>46 to 55 years old</v>
      </c>
      <c r="AK773" t="str">
        <f>VLOOKUP(S773,Assets!$B$11:$C$26,2,TRUE)</f>
        <v>$7.001 to $12.000</v>
      </c>
    </row>
    <row r="774" spans="1:37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VLOOKUP(A774,Assets!$B$7:$C$11,2,TRUE)</f>
        <v>56 years or older</v>
      </c>
      <c r="AK774" t="str">
        <f>VLOOKUP(S774,Assets!$B$11:$C$26,2,TRUE)</f>
        <v>Up to $3.000</v>
      </c>
    </row>
    <row r="775" spans="1:37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VLOOKUP(A775,Assets!$B$7:$C$11,2,TRUE)</f>
        <v>36 to 45 years old</v>
      </c>
      <c r="AK775" t="str">
        <f>VLOOKUP(S775,Assets!$B$11:$C$26,2,TRUE)</f>
        <v>$7.001 to $12.000</v>
      </c>
    </row>
    <row r="776" spans="1:37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VLOOKUP(A776,Assets!$B$7:$C$11,2,TRUE)</f>
        <v>46 to 55 years old</v>
      </c>
      <c r="AK776" t="str">
        <f>VLOOKUP(S776,Assets!$B$11:$C$26,2,TRUE)</f>
        <v>Over $12.000</v>
      </c>
    </row>
    <row r="777" spans="1:37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VLOOKUP(A777,Assets!$B$7:$C$11,2,TRUE)</f>
        <v>36 to 45 years old</v>
      </c>
      <c r="AK777" t="str">
        <f>VLOOKUP(S777,Assets!$B$11:$C$26,2,TRUE)</f>
        <v>$7.001 to $12.000</v>
      </c>
    </row>
    <row r="778" spans="1:37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VLOOKUP(A778,Assets!$B$7:$C$11,2,TRUE)</f>
        <v>18 to 25 years old</v>
      </c>
      <c r="AK778" t="str">
        <f>VLOOKUP(S778,Assets!$B$11:$C$26,2,TRUE)</f>
        <v>Up to $3.000</v>
      </c>
    </row>
    <row r="779" spans="1:37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VLOOKUP(A779,Assets!$B$7:$C$11,2,TRUE)</f>
        <v>18 to 25 years old</v>
      </c>
      <c r="AK779" t="str">
        <f>VLOOKUP(S779,Assets!$B$11:$C$26,2,TRUE)</f>
        <v>Up to $3.000</v>
      </c>
    </row>
    <row r="780" spans="1:37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VLOOKUP(A780,Assets!$B$7:$C$11,2,TRUE)</f>
        <v>46 to 55 years old</v>
      </c>
      <c r="AK780" t="str">
        <f>VLOOKUP(S780,Assets!$B$11:$C$26,2,TRUE)</f>
        <v>$3.001 to $7.000</v>
      </c>
    </row>
    <row r="781" spans="1:37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VLOOKUP(A781,Assets!$B$7:$C$11,2,TRUE)</f>
        <v>46 to 55 years old</v>
      </c>
      <c r="AK781" t="str">
        <f>VLOOKUP(S781,Assets!$B$11:$C$26,2,TRUE)</f>
        <v>Up to $3.000</v>
      </c>
    </row>
    <row r="782" spans="1:37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VLOOKUP(A782,Assets!$B$7:$C$11,2,TRUE)</f>
        <v>26 to 35 years old</v>
      </c>
      <c r="AK782" t="str">
        <f>VLOOKUP(S782,Assets!$B$11:$C$26,2,TRUE)</f>
        <v>$7.001 to $12.000</v>
      </c>
    </row>
    <row r="783" spans="1:37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VLOOKUP(A783,Assets!$B$7:$C$11,2,TRUE)</f>
        <v>26 to 35 years old</v>
      </c>
      <c r="AK783" t="str">
        <f>VLOOKUP(S783,Assets!$B$11:$C$26,2,TRUE)</f>
        <v>$3.001 to $7.000</v>
      </c>
    </row>
    <row r="784" spans="1:37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VLOOKUP(A784,Assets!$B$7:$C$11,2,TRUE)</f>
        <v>26 to 35 years old</v>
      </c>
      <c r="AK784" t="str">
        <f>VLOOKUP(S784,Assets!$B$11:$C$26,2,TRUE)</f>
        <v>$7.001 to $12.000</v>
      </c>
    </row>
    <row r="785" spans="1:37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VLOOKUP(A785,Assets!$B$7:$C$11,2,TRUE)</f>
        <v>36 to 45 years old</v>
      </c>
      <c r="AK785" t="str">
        <f>VLOOKUP(S785,Assets!$B$11:$C$26,2,TRUE)</f>
        <v>$3.001 to $7.000</v>
      </c>
    </row>
    <row r="786" spans="1:37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VLOOKUP(A786,Assets!$B$7:$C$11,2,TRUE)</f>
        <v>36 to 45 years old</v>
      </c>
      <c r="AK786" t="str">
        <f>VLOOKUP(S786,Assets!$B$11:$C$26,2,TRUE)</f>
        <v>$7.001 to $12.000</v>
      </c>
    </row>
    <row r="787" spans="1:37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VLOOKUP(A787,Assets!$B$7:$C$11,2,TRUE)</f>
        <v>36 to 45 years old</v>
      </c>
      <c r="AK787" t="str">
        <f>VLOOKUP(S787,Assets!$B$11:$C$26,2,TRUE)</f>
        <v>$7.001 to $12.000</v>
      </c>
    </row>
    <row r="788" spans="1:37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VLOOKUP(A788,Assets!$B$7:$C$11,2,TRUE)</f>
        <v>26 to 35 years old</v>
      </c>
      <c r="AK788" t="str">
        <f>VLOOKUP(S788,Assets!$B$11:$C$26,2,TRUE)</f>
        <v>$3.001 to $7.000</v>
      </c>
    </row>
    <row r="789" spans="1:37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VLOOKUP(A789,Assets!$B$7:$C$11,2,TRUE)</f>
        <v>46 to 55 years old</v>
      </c>
      <c r="AK789" t="str">
        <f>VLOOKUP(S789,Assets!$B$11:$C$26,2,TRUE)</f>
        <v>$7.001 to $12.000</v>
      </c>
    </row>
    <row r="790" spans="1:37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VLOOKUP(A790,Assets!$B$7:$C$11,2,TRUE)</f>
        <v>26 to 35 years old</v>
      </c>
      <c r="AK790" t="str">
        <f>VLOOKUP(S790,Assets!$B$11:$C$26,2,TRUE)</f>
        <v>$3.001 to $7.000</v>
      </c>
    </row>
    <row r="791" spans="1:37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VLOOKUP(A791,Assets!$B$7:$C$11,2,TRUE)</f>
        <v>36 to 45 years old</v>
      </c>
      <c r="AK791" t="str">
        <f>VLOOKUP(S791,Assets!$B$11:$C$26,2,TRUE)</f>
        <v>$7.001 to $12.000</v>
      </c>
    </row>
    <row r="792" spans="1:37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VLOOKUP(A792,Assets!$B$7:$C$11,2,TRUE)</f>
        <v>26 to 35 years old</v>
      </c>
      <c r="AK792" t="str">
        <f>VLOOKUP(S792,Assets!$B$11:$C$26,2,TRUE)</f>
        <v>$7.001 to $12.000</v>
      </c>
    </row>
    <row r="793" spans="1:37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VLOOKUP(A793,Assets!$B$7:$C$11,2,TRUE)</f>
        <v>26 to 35 years old</v>
      </c>
      <c r="AK793" t="str">
        <f>VLOOKUP(S793,Assets!$B$11:$C$26,2,TRUE)</f>
        <v>$7.001 to $12.000</v>
      </c>
    </row>
    <row r="794" spans="1:37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VLOOKUP(A794,Assets!$B$7:$C$11,2,TRUE)</f>
        <v>26 to 35 years old</v>
      </c>
      <c r="AK794" t="str">
        <f>VLOOKUP(S794,Assets!$B$11:$C$26,2,TRUE)</f>
        <v>$3.001 to $7.000</v>
      </c>
    </row>
    <row r="795" spans="1:37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VLOOKUP(A795,Assets!$B$7:$C$11,2,TRUE)</f>
        <v>26 to 35 years old</v>
      </c>
      <c r="AK795" t="str">
        <f>VLOOKUP(S795,Assets!$B$11:$C$26,2,TRUE)</f>
        <v>Up to $3.000</v>
      </c>
    </row>
    <row r="796" spans="1:37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VLOOKUP(A796,Assets!$B$7:$C$11,2,TRUE)</f>
        <v>26 to 35 years old</v>
      </c>
      <c r="AK796" t="str">
        <f>VLOOKUP(S796,Assets!$B$11:$C$26,2,TRUE)</f>
        <v>$7.001 to $12.000</v>
      </c>
    </row>
    <row r="797" spans="1:37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VLOOKUP(A797,Assets!$B$7:$C$11,2,TRUE)</f>
        <v>36 to 45 years old</v>
      </c>
      <c r="AK797" t="str">
        <f>VLOOKUP(S797,Assets!$B$11:$C$26,2,TRUE)</f>
        <v>$3.001 to $7.000</v>
      </c>
    </row>
    <row r="798" spans="1:37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VLOOKUP(A798,Assets!$B$7:$C$11,2,TRUE)</f>
        <v>18 to 25 years old</v>
      </c>
      <c r="AK798" t="str">
        <f>VLOOKUP(S798,Assets!$B$11:$C$26,2,TRUE)</f>
        <v>$3.001 to $7.000</v>
      </c>
    </row>
    <row r="799" spans="1:37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VLOOKUP(A799,Assets!$B$7:$C$11,2,TRUE)</f>
        <v>26 to 35 years old</v>
      </c>
      <c r="AK799" t="str">
        <f>VLOOKUP(S799,Assets!$B$11:$C$26,2,TRUE)</f>
        <v>Up to $3.000</v>
      </c>
    </row>
    <row r="800" spans="1:37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VLOOKUP(A800,Assets!$B$7:$C$11,2,TRUE)</f>
        <v>26 to 35 years old</v>
      </c>
      <c r="AK800" t="str">
        <f>VLOOKUP(S800,Assets!$B$11:$C$26,2,TRUE)</f>
        <v>Up to $3.000</v>
      </c>
    </row>
    <row r="801" spans="1:37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VLOOKUP(A801,Assets!$B$7:$C$11,2,TRUE)</f>
        <v>36 to 45 years old</v>
      </c>
      <c r="AK801" t="str">
        <f>VLOOKUP(S801,Assets!$B$11:$C$26,2,TRUE)</f>
        <v>Over $12.000</v>
      </c>
    </row>
    <row r="802" spans="1:37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VLOOKUP(A802,Assets!$B$7:$C$11,2,TRUE)</f>
        <v>26 to 35 years old</v>
      </c>
      <c r="AK802" t="str">
        <f>VLOOKUP(S802,Assets!$B$11:$C$26,2,TRUE)</f>
        <v>Up to $3.000</v>
      </c>
    </row>
    <row r="803" spans="1:37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VLOOKUP(A803,Assets!$B$7:$C$11,2,TRUE)</f>
        <v>46 to 55 years old</v>
      </c>
      <c r="AK803" t="str">
        <f>VLOOKUP(S803,Assets!$B$11:$C$26,2,TRUE)</f>
        <v>$3.001 to $7.000</v>
      </c>
    </row>
    <row r="804" spans="1:37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VLOOKUP(A804,Assets!$B$7:$C$11,2,TRUE)</f>
        <v>26 to 35 years old</v>
      </c>
      <c r="AK804" t="str">
        <f>VLOOKUP(S804,Assets!$B$11:$C$26,2,TRUE)</f>
        <v>$3.001 to $7.000</v>
      </c>
    </row>
    <row r="805" spans="1:37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VLOOKUP(A805,Assets!$B$7:$C$11,2,TRUE)</f>
        <v>26 to 35 years old</v>
      </c>
      <c r="AK805" t="str">
        <f>VLOOKUP(S805,Assets!$B$11:$C$26,2,TRUE)</f>
        <v>Up to $3.000</v>
      </c>
    </row>
    <row r="806" spans="1:37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VLOOKUP(A806,Assets!$B$7:$C$11,2,TRUE)</f>
        <v>46 to 55 years old</v>
      </c>
      <c r="AK806" t="str">
        <f>VLOOKUP(S806,Assets!$B$11:$C$26,2,TRUE)</f>
        <v>Over $12.000</v>
      </c>
    </row>
    <row r="807" spans="1:37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VLOOKUP(A807,Assets!$B$7:$C$11,2,TRUE)</f>
        <v>36 to 45 years old</v>
      </c>
      <c r="AK807" t="str">
        <f>VLOOKUP(S807,Assets!$B$11:$C$26,2,TRUE)</f>
        <v>$3.001 to $7.000</v>
      </c>
    </row>
    <row r="808" spans="1:37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VLOOKUP(A808,Assets!$B$7:$C$11,2,TRUE)</f>
        <v>46 to 55 years old</v>
      </c>
      <c r="AK808" t="str">
        <f>VLOOKUP(S808,Assets!$B$11:$C$26,2,TRUE)</f>
        <v>$7.001 to $12.000</v>
      </c>
    </row>
    <row r="809" spans="1:37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VLOOKUP(A809,Assets!$B$7:$C$11,2,TRUE)</f>
        <v>36 to 45 years old</v>
      </c>
      <c r="AK809" t="str">
        <f>VLOOKUP(S809,Assets!$B$11:$C$26,2,TRUE)</f>
        <v>$7.001 to $12.000</v>
      </c>
    </row>
    <row r="810" spans="1:37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VLOOKUP(A810,Assets!$B$7:$C$11,2,TRUE)</f>
        <v>26 to 35 years old</v>
      </c>
      <c r="AK810" t="str">
        <f>VLOOKUP(S810,Assets!$B$11:$C$26,2,TRUE)</f>
        <v>Up to $3.000</v>
      </c>
    </row>
    <row r="811" spans="1:37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VLOOKUP(A811,Assets!$B$7:$C$11,2,TRUE)</f>
        <v>26 to 35 years old</v>
      </c>
      <c r="AK811" t="str">
        <f>VLOOKUP(S811,Assets!$B$11:$C$26,2,TRUE)</f>
        <v>$7.001 to $12.000</v>
      </c>
    </row>
    <row r="812" spans="1:37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VLOOKUP(A812,Assets!$B$7:$C$11,2,TRUE)</f>
        <v>46 to 55 years old</v>
      </c>
      <c r="AK812" t="str">
        <f>VLOOKUP(S812,Assets!$B$11:$C$26,2,TRUE)</f>
        <v>Over $12.000</v>
      </c>
    </row>
    <row r="813" spans="1:37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VLOOKUP(A813,Assets!$B$7:$C$11,2,TRUE)</f>
        <v>36 to 45 years old</v>
      </c>
      <c r="AK813" t="str">
        <f>VLOOKUP(S813,Assets!$B$11:$C$26,2,TRUE)</f>
        <v>$7.001 to $12.000</v>
      </c>
    </row>
    <row r="814" spans="1:37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VLOOKUP(A814,Assets!$B$7:$C$11,2,TRUE)</f>
        <v>36 to 45 years old</v>
      </c>
      <c r="AK814" t="str">
        <f>VLOOKUP(S814,Assets!$B$11:$C$26,2,TRUE)</f>
        <v>$7.001 to $12.000</v>
      </c>
    </row>
    <row r="815" spans="1:37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VLOOKUP(A815,Assets!$B$7:$C$11,2,TRUE)</f>
        <v>36 to 45 years old</v>
      </c>
      <c r="AK815" t="str">
        <f>VLOOKUP(S815,Assets!$B$11:$C$26,2,TRUE)</f>
        <v>Over $12.000</v>
      </c>
    </row>
    <row r="816" spans="1:37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VLOOKUP(A816,Assets!$B$7:$C$11,2,TRUE)</f>
        <v>36 to 45 years old</v>
      </c>
      <c r="AK816" t="str">
        <f>VLOOKUP(S816,Assets!$B$11:$C$26,2,TRUE)</f>
        <v>Over $12.000</v>
      </c>
    </row>
    <row r="817" spans="1:37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VLOOKUP(A817,Assets!$B$7:$C$11,2,TRUE)</f>
        <v>18 to 25 years old</v>
      </c>
      <c r="AK817" t="str">
        <f>VLOOKUP(S817,Assets!$B$11:$C$26,2,TRUE)</f>
        <v>Up to $3.000</v>
      </c>
    </row>
    <row r="818" spans="1:37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VLOOKUP(A818,Assets!$B$7:$C$11,2,TRUE)</f>
        <v>36 to 45 years old</v>
      </c>
      <c r="AK818" t="str">
        <f>VLOOKUP(S818,Assets!$B$11:$C$26,2,TRUE)</f>
        <v>$3.001 to $7.000</v>
      </c>
    </row>
    <row r="819" spans="1:37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VLOOKUP(A819,Assets!$B$7:$C$11,2,TRUE)</f>
        <v>36 to 45 years old</v>
      </c>
      <c r="AK819" t="str">
        <f>VLOOKUP(S819,Assets!$B$11:$C$26,2,TRUE)</f>
        <v>$7.001 to $12.000</v>
      </c>
    </row>
    <row r="820" spans="1:37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VLOOKUP(A820,Assets!$B$7:$C$11,2,TRUE)</f>
        <v>26 to 35 years old</v>
      </c>
      <c r="AK820" t="str">
        <f>VLOOKUP(S820,Assets!$B$11:$C$26,2,TRUE)</f>
        <v>Up to $3.000</v>
      </c>
    </row>
    <row r="821" spans="1:37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VLOOKUP(A821,Assets!$B$7:$C$11,2,TRUE)</f>
        <v>26 to 35 years old</v>
      </c>
      <c r="AK821" t="str">
        <f>VLOOKUP(S821,Assets!$B$11:$C$26,2,TRUE)</f>
        <v>$3.001 to $7.000</v>
      </c>
    </row>
    <row r="822" spans="1:37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VLOOKUP(A822,Assets!$B$7:$C$11,2,TRUE)</f>
        <v>26 to 35 years old</v>
      </c>
      <c r="AK822" t="str">
        <f>VLOOKUP(S822,Assets!$B$11:$C$26,2,TRUE)</f>
        <v>$3.001 to $7.000</v>
      </c>
    </row>
    <row r="823" spans="1:37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VLOOKUP(A823,Assets!$B$7:$C$11,2,TRUE)</f>
        <v>46 to 55 years old</v>
      </c>
      <c r="AK823" t="str">
        <f>VLOOKUP(S823,Assets!$B$11:$C$26,2,TRUE)</f>
        <v>Over $12.000</v>
      </c>
    </row>
    <row r="824" spans="1:37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VLOOKUP(A824,Assets!$B$7:$C$11,2,TRUE)</f>
        <v>26 to 35 years old</v>
      </c>
      <c r="AK824" t="str">
        <f>VLOOKUP(S824,Assets!$B$11:$C$26,2,TRUE)</f>
        <v>$3.001 to $7.000</v>
      </c>
    </row>
    <row r="825" spans="1:37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VLOOKUP(A825,Assets!$B$7:$C$11,2,TRUE)</f>
        <v>26 to 35 years old</v>
      </c>
      <c r="AK825" t="str">
        <f>VLOOKUP(S825,Assets!$B$11:$C$26,2,TRUE)</f>
        <v>$3.001 to $7.000</v>
      </c>
    </row>
    <row r="826" spans="1:37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VLOOKUP(A826,Assets!$B$7:$C$11,2,TRUE)</f>
        <v>36 to 45 years old</v>
      </c>
      <c r="AK826" t="str">
        <f>VLOOKUP(S826,Assets!$B$11:$C$26,2,TRUE)</f>
        <v>$3.001 to $7.000</v>
      </c>
    </row>
    <row r="827" spans="1:37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VLOOKUP(A827,Assets!$B$7:$C$11,2,TRUE)</f>
        <v>26 to 35 years old</v>
      </c>
      <c r="AK827" t="str">
        <f>VLOOKUP(S827,Assets!$B$11:$C$26,2,TRUE)</f>
        <v>$3.001 to $7.000</v>
      </c>
    </row>
    <row r="828" spans="1:37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VLOOKUP(A828,Assets!$B$7:$C$11,2,TRUE)</f>
        <v>36 to 45 years old</v>
      </c>
      <c r="AK828" t="str">
        <f>VLOOKUP(S828,Assets!$B$11:$C$26,2,TRUE)</f>
        <v>Up to $3.000</v>
      </c>
    </row>
    <row r="829" spans="1:37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VLOOKUP(A829,Assets!$B$7:$C$11,2,TRUE)</f>
        <v>26 to 35 years old</v>
      </c>
      <c r="AK829" t="str">
        <f>VLOOKUP(S829,Assets!$B$11:$C$26,2,TRUE)</f>
        <v>Up to $3.000</v>
      </c>
    </row>
    <row r="830" spans="1:37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VLOOKUP(A830,Assets!$B$7:$C$11,2,TRUE)</f>
        <v>18 to 25 years old</v>
      </c>
      <c r="AK830" t="str">
        <f>VLOOKUP(S830,Assets!$B$11:$C$26,2,TRUE)</f>
        <v>Up to $3.000</v>
      </c>
    </row>
    <row r="831" spans="1:37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VLOOKUP(A831,Assets!$B$7:$C$11,2,TRUE)</f>
        <v>26 to 35 years old</v>
      </c>
      <c r="AK831" t="str">
        <f>VLOOKUP(S831,Assets!$B$11:$C$26,2,TRUE)</f>
        <v>$7.001 to $12.000</v>
      </c>
    </row>
    <row r="832" spans="1:37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VLOOKUP(A832,Assets!$B$7:$C$11,2,TRUE)</f>
        <v>36 to 45 years old</v>
      </c>
      <c r="AK832" t="str">
        <f>VLOOKUP(S832,Assets!$B$11:$C$26,2,TRUE)</f>
        <v>$3.001 to $7.000</v>
      </c>
    </row>
    <row r="833" spans="1:37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VLOOKUP(A833,Assets!$B$7:$C$11,2,TRUE)</f>
        <v>26 to 35 years old</v>
      </c>
      <c r="AK833" t="str">
        <f>VLOOKUP(S833,Assets!$B$11:$C$26,2,TRUE)</f>
        <v>Up to $3.000</v>
      </c>
    </row>
    <row r="834" spans="1:37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VLOOKUP(A834,Assets!$B$7:$C$11,2,TRUE)</f>
        <v>36 to 45 years old</v>
      </c>
      <c r="AK834" t="str">
        <f>VLOOKUP(S834,Assets!$B$11:$C$26,2,TRUE)</f>
        <v>$3.001 to $7.000</v>
      </c>
    </row>
    <row r="835" spans="1:37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VLOOKUP(A835,Assets!$B$7:$C$11,2,TRUE)</f>
        <v>26 to 35 years old</v>
      </c>
      <c r="AK835" t="str">
        <f>VLOOKUP(S835,Assets!$B$11:$C$26,2,TRUE)</f>
        <v>Up to $3.000</v>
      </c>
    </row>
    <row r="836" spans="1:37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VLOOKUP(A836,Assets!$B$7:$C$11,2,TRUE)</f>
        <v>26 to 35 years old</v>
      </c>
      <c r="AK836" t="str">
        <f>VLOOKUP(S836,Assets!$B$11:$C$26,2,TRUE)</f>
        <v>$3.001 to $7.000</v>
      </c>
    </row>
    <row r="837" spans="1:37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VLOOKUP(A837,Assets!$B$7:$C$11,2,TRUE)</f>
        <v>26 to 35 years old</v>
      </c>
      <c r="AK837" t="str">
        <f>VLOOKUP(S837,Assets!$B$11:$C$26,2,TRUE)</f>
        <v>$3.001 to $7.000</v>
      </c>
    </row>
    <row r="838" spans="1:37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VLOOKUP(A838,Assets!$B$7:$C$11,2,TRUE)</f>
        <v>26 to 35 years old</v>
      </c>
      <c r="AK838" t="str">
        <f>VLOOKUP(S838,Assets!$B$11:$C$26,2,TRUE)</f>
        <v>$7.001 to $12.000</v>
      </c>
    </row>
    <row r="839" spans="1:37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VLOOKUP(A839,Assets!$B$7:$C$11,2,TRUE)</f>
        <v>36 to 45 years old</v>
      </c>
      <c r="AK839" t="str">
        <f>VLOOKUP(S839,Assets!$B$11:$C$26,2,TRUE)</f>
        <v>Over $12.000</v>
      </c>
    </row>
    <row r="840" spans="1:37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VLOOKUP(A840,Assets!$B$7:$C$11,2,TRUE)</f>
        <v>36 to 45 years old</v>
      </c>
      <c r="AK840" t="str">
        <f>VLOOKUP(S840,Assets!$B$11:$C$26,2,TRUE)</f>
        <v>Over $12.000</v>
      </c>
    </row>
    <row r="841" spans="1:37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VLOOKUP(A841,Assets!$B$7:$C$11,2,TRUE)</f>
        <v>36 to 45 years old</v>
      </c>
      <c r="AK841" t="str">
        <f>VLOOKUP(S841,Assets!$B$11:$C$26,2,TRUE)</f>
        <v>$3.001 to $7.000</v>
      </c>
    </row>
    <row r="842" spans="1:37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VLOOKUP(A842,Assets!$B$7:$C$11,2,TRUE)</f>
        <v>26 to 35 years old</v>
      </c>
      <c r="AK842" t="str">
        <f>VLOOKUP(S842,Assets!$B$11:$C$26,2,TRUE)</f>
        <v>Up to $3.000</v>
      </c>
    </row>
    <row r="843" spans="1:37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VLOOKUP(A843,Assets!$B$7:$C$11,2,TRUE)</f>
        <v>18 to 25 years old</v>
      </c>
      <c r="AK843" t="str">
        <f>VLOOKUP(S843,Assets!$B$11:$C$26,2,TRUE)</f>
        <v>$3.001 to $7.000</v>
      </c>
    </row>
    <row r="844" spans="1:37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VLOOKUP(A844,Assets!$B$7:$C$11,2,TRUE)</f>
        <v>26 to 35 years old</v>
      </c>
      <c r="AK844" t="str">
        <f>VLOOKUP(S844,Assets!$B$11:$C$26,2,TRUE)</f>
        <v>Up to $3.000</v>
      </c>
    </row>
    <row r="845" spans="1:37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VLOOKUP(A845,Assets!$B$7:$C$11,2,TRUE)</f>
        <v>26 to 35 years old</v>
      </c>
      <c r="AK845" t="str">
        <f>VLOOKUP(S845,Assets!$B$11:$C$26,2,TRUE)</f>
        <v>$3.001 to $7.000</v>
      </c>
    </row>
    <row r="846" spans="1:37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VLOOKUP(A846,Assets!$B$7:$C$11,2,TRUE)</f>
        <v>26 to 35 years old</v>
      </c>
      <c r="AK846" t="str">
        <f>VLOOKUP(S846,Assets!$B$11:$C$26,2,TRUE)</f>
        <v>$3.001 to $7.000</v>
      </c>
    </row>
    <row r="847" spans="1:37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VLOOKUP(A847,Assets!$B$7:$C$11,2,TRUE)</f>
        <v>36 to 45 years old</v>
      </c>
      <c r="AK847" t="str">
        <f>VLOOKUP(S847,Assets!$B$11:$C$26,2,TRUE)</f>
        <v>$3.001 to $7.000</v>
      </c>
    </row>
    <row r="848" spans="1:37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VLOOKUP(A848,Assets!$B$7:$C$11,2,TRUE)</f>
        <v>26 to 35 years old</v>
      </c>
      <c r="AK848" t="str">
        <f>VLOOKUP(S848,Assets!$B$11:$C$26,2,TRUE)</f>
        <v>$7.001 to $12.000</v>
      </c>
    </row>
    <row r="849" spans="1:37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VLOOKUP(A849,Assets!$B$7:$C$11,2,TRUE)</f>
        <v>26 to 35 years old</v>
      </c>
      <c r="AK849" t="str">
        <f>VLOOKUP(S849,Assets!$B$11:$C$26,2,TRUE)</f>
        <v>$3.001 to $7.000</v>
      </c>
    </row>
    <row r="850" spans="1:37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VLOOKUP(A850,Assets!$B$7:$C$11,2,TRUE)</f>
        <v>26 to 35 years old</v>
      </c>
      <c r="AK850" t="str">
        <f>VLOOKUP(S850,Assets!$B$11:$C$26,2,TRUE)</f>
        <v>Up to $3.000</v>
      </c>
    </row>
    <row r="851" spans="1:37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VLOOKUP(A851,Assets!$B$7:$C$11,2,TRUE)</f>
        <v>36 to 45 years old</v>
      </c>
      <c r="AK851" t="str">
        <f>VLOOKUP(S851,Assets!$B$11:$C$26,2,TRUE)</f>
        <v>$3.001 to $7.000</v>
      </c>
    </row>
    <row r="852" spans="1:37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VLOOKUP(A852,Assets!$B$7:$C$11,2,TRUE)</f>
        <v>26 to 35 years old</v>
      </c>
      <c r="AK852" t="str">
        <f>VLOOKUP(S852,Assets!$B$11:$C$26,2,TRUE)</f>
        <v>Up to $3.000</v>
      </c>
    </row>
    <row r="853" spans="1:37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VLOOKUP(A853,Assets!$B$7:$C$11,2,TRUE)</f>
        <v>56 years or older</v>
      </c>
      <c r="AK853" t="str">
        <f>VLOOKUP(S853,Assets!$B$11:$C$26,2,TRUE)</f>
        <v>Over $12.000</v>
      </c>
    </row>
    <row r="854" spans="1:37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VLOOKUP(A854,Assets!$B$7:$C$11,2,TRUE)</f>
        <v>26 to 35 years old</v>
      </c>
      <c r="AK854" t="str">
        <f>VLOOKUP(S854,Assets!$B$11:$C$26,2,TRUE)</f>
        <v>$3.001 to $7.000</v>
      </c>
    </row>
    <row r="855" spans="1:37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VLOOKUP(A855,Assets!$B$7:$C$11,2,TRUE)</f>
        <v>18 to 25 years old</v>
      </c>
      <c r="AK855" t="str">
        <f>VLOOKUP(S855,Assets!$B$11:$C$26,2,TRUE)</f>
        <v>Up to $3.000</v>
      </c>
    </row>
    <row r="856" spans="1:37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VLOOKUP(A856,Assets!$B$7:$C$11,2,TRUE)</f>
        <v>36 to 45 years old</v>
      </c>
      <c r="AK856" t="str">
        <f>VLOOKUP(S856,Assets!$B$11:$C$26,2,TRUE)</f>
        <v>$3.001 to $7.000</v>
      </c>
    </row>
    <row r="857" spans="1:37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VLOOKUP(A857,Assets!$B$7:$C$11,2,TRUE)</f>
        <v>36 to 45 years old</v>
      </c>
      <c r="AK857" t="str">
        <f>VLOOKUP(S857,Assets!$B$11:$C$26,2,TRUE)</f>
        <v>$3.001 to $7.000</v>
      </c>
    </row>
    <row r="858" spans="1:37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VLOOKUP(A858,Assets!$B$7:$C$11,2,TRUE)</f>
        <v>18 to 25 years old</v>
      </c>
      <c r="AK858" t="str">
        <f>VLOOKUP(S858,Assets!$B$11:$C$26,2,TRUE)</f>
        <v>$3.001 to $7.000</v>
      </c>
    </row>
    <row r="859" spans="1:37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VLOOKUP(A859,Assets!$B$7:$C$11,2,TRUE)</f>
        <v>36 to 45 years old</v>
      </c>
      <c r="AK859" t="str">
        <f>VLOOKUP(S859,Assets!$B$11:$C$26,2,TRUE)</f>
        <v>Up to $3.000</v>
      </c>
    </row>
    <row r="860" spans="1:37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VLOOKUP(A860,Assets!$B$7:$C$11,2,TRUE)</f>
        <v>46 to 55 years old</v>
      </c>
      <c r="AK860" t="str">
        <f>VLOOKUP(S860,Assets!$B$11:$C$26,2,TRUE)</f>
        <v>Over $12.000</v>
      </c>
    </row>
    <row r="861" spans="1:37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VLOOKUP(A861,Assets!$B$7:$C$11,2,TRUE)</f>
        <v>26 to 35 years old</v>
      </c>
      <c r="AK861" t="str">
        <f>VLOOKUP(S861,Assets!$B$11:$C$26,2,TRUE)</f>
        <v>Up to $3.000</v>
      </c>
    </row>
    <row r="862" spans="1:37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VLOOKUP(A862,Assets!$B$7:$C$11,2,TRUE)</f>
        <v>18 to 25 years old</v>
      </c>
      <c r="AK862" t="str">
        <f>VLOOKUP(S862,Assets!$B$11:$C$26,2,TRUE)</f>
        <v>Up to $3.000</v>
      </c>
    </row>
    <row r="863" spans="1:37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VLOOKUP(A863,Assets!$B$7:$C$11,2,TRUE)</f>
        <v>46 to 55 years old</v>
      </c>
      <c r="AK863" t="str">
        <f>VLOOKUP(S863,Assets!$B$11:$C$26,2,TRUE)</f>
        <v>Over $12.000</v>
      </c>
    </row>
    <row r="864" spans="1:37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VLOOKUP(A864,Assets!$B$7:$C$11,2,TRUE)</f>
        <v>36 to 45 years old</v>
      </c>
      <c r="AK864" t="str">
        <f>VLOOKUP(S864,Assets!$B$11:$C$26,2,TRUE)</f>
        <v>Up to $3.000</v>
      </c>
    </row>
    <row r="865" spans="1:37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VLOOKUP(A865,Assets!$B$7:$C$11,2,TRUE)</f>
        <v>26 to 35 years old</v>
      </c>
      <c r="AK865" t="str">
        <f>VLOOKUP(S865,Assets!$B$11:$C$26,2,TRUE)</f>
        <v>$3.001 to $7.000</v>
      </c>
    </row>
    <row r="866" spans="1:37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VLOOKUP(A866,Assets!$B$7:$C$11,2,TRUE)</f>
        <v>36 to 45 years old</v>
      </c>
      <c r="AK866" t="str">
        <f>VLOOKUP(S866,Assets!$B$11:$C$26,2,TRUE)</f>
        <v>Up to $3.000</v>
      </c>
    </row>
    <row r="867" spans="1:37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VLOOKUP(A867,Assets!$B$7:$C$11,2,TRUE)</f>
        <v>26 to 35 years old</v>
      </c>
      <c r="AK867" t="str">
        <f>VLOOKUP(S867,Assets!$B$11:$C$26,2,TRUE)</f>
        <v>$3.001 to $7.000</v>
      </c>
    </row>
    <row r="868" spans="1:37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VLOOKUP(A868,Assets!$B$7:$C$11,2,TRUE)</f>
        <v>36 to 45 years old</v>
      </c>
      <c r="AK868" t="str">
        <f>VLOOKUP(S868,Assets!$B$11:$C$26,2,TRUE)</f>
        <v>$3.001 to $7.000</v>
      </c>
    </row>
    <row r="869" spans="1:37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VLOOKUP(A869,Assets!$B$7:$C$11,2,TRUE)</f>
        <v>46 to 55 years old</v>
      </c>
      <c r="AK869" t="str">
        <f>VLOOKUP(S869,Assets!$B$11:$C$26,2,TRUE)</f>
        <v>Over $12.000</v>
      </c>
    </row>
    <row r="870" spans="1:37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VLOOKUP(A870,Assets!$B$7:$C$11,2,TRUE)</f>
        <v>26 to 35 years old</v>
      </c>
      <c r="AK870" t="str">
        <f>VLOOKUP(S870,Assets!$B$11:$C$26,2,TRUE)</f>
        <v>$3.001 to $7.000</v>
      </c>
    </row>
    <row r="871" spans="1:37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VLOOKUP(A871,Assets!$B$7:$C$11,2,TRUE)</f>
        <v>46 to 55 years old</v>
      </c>
      <c r="AK871" t="str">
        <f>VLOOKUP(S871,Assets!$B$11:$C$26,2,TRUE)</f>
        <v>Over $12.000</v>
      </c>
    </row>
    <row r="872" spans="1:37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VLOOKUP(A872,Assets!$B$7:$C$11,2,TRUE)</f>
        <v>26 to 35 years old</v>
      </c>
      <c r="AK872" t="str">
        <f>VLOOKUP(S872,Assets!$B$11:$C$26,2,TRUE)</f>
        <v>$7.001 to $12.000</v>
      </c>
    </row>
    <row r="873" spans="1:37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VLOOKUP(A873,Assets!$B$7:$C$11,2,TRUE)</f>
        <v>18 to 25 years old</v>
      </c>
      <c r="AK873" t="str">
        <f>VLOOKUP(S873,Assets!$B$11:$C$26,2,TRUE)</f>
        <v>Up to $3.000</v>
      </c>
    </row>
    <row r="874" spans="1:37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VLOOKUP(A874,Assets!$B$7:$C$11,2,TRUE)</f>
        <v>26 to 35 years old</v>
      </c>
      <c r="AK874" t="str">
        <f>VLOOKUP(S874,Assets!$B$11:$C$26,2,TRUE)</f>
        <v>$3.001 to $7.000</v>
      </c>
    </row>
    <row r="875" spans="1:37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VLOOKUP(A875,Assets!$B$7:$C$11,2,TRUE)</f>
        <v>36 to 45 years old</v>
      </c>
      <c r="AK875" t="str">
        <f>VLOOKUP(S875,Assets!$B$11:$C$26,2,TRUE)</f>
        <v>Up to $3.000</v>
      </c>
    </row>
    <row r="876" spans="1:37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VLOOKUP(A876,Assets!$B$7:$C$11,2,TRUE)</f>
        <v>26 to 35 years old</v>
      </c>
      <c r="AK876" t="str">
        <f>VLOOKUP(S876,Assets!$B$11:$C$26,2,TRUE)</f>
        <v>$3.001 to $7.000</v>
      </c>
    </row>
    <row r="877" spans="1:37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VLOOKUP(A877,Assets!$B$7:$C$11,2,TRUE)</f>
        <v>36 to 45 years old</v>
      </c>
      <c r="AK877" t="str">
        <f>VLOOKUP(S877,Assets!$B$11:$C$26,2,TRUE)</f>
        <v>$3.001 to $7.000</v>
      </c>
    </row>
    <row r="878" spans="1:37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VLOOKUP(A878,Assets!$B$7:$C$11,2,TRUE)</f>
        <v>18 to 25 years old</v>
      </c>
      <c r="AK878" t="str">
        <f>VLOOKUP(S878,Assets!$B$11:$C$26,2,TRUE)</f>
        <v>Up to $3.000</v>
      </c>
    </row>
    <row r="879" spans="1:37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VLOOKUP(A879,Assets!$B$7:$C$11,2,TRUE)</f>
        <v>46 to 55 years old</v>
      </c>
      <c r="AK879" t="str">
        <f>VLOOKUP(S879,Assets!$B$11:$C$26,2,TRUE)</f>
        <v>$7.001 to $12.000</v>
      </c>
    </row>
    <row r="880" spans="1:37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VLOOKUP(A880,Assets!$B$7:$C$11,2,TRUE)</f>
        <v>36 to 45 years old</v>
      </c>
      <c r="AK880" t="str">
        <f>VLOOKUP(S880,Assets!$B$11:$C$26,2,TRUE)</f>
        <v>$3.001 to $7.000</v>
      </c>
    </row>
    <row r="881" spans="1:37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VLOOKUP(A881,Assets!$B$7:$C$11,2,TRUE)</f>
        <v>56 years or older</v>
      </c>
      <c r="AK881" t="str">
        <f>VLOOKUP(S881,Assets!$B$11:$C$26,2,TRUE)</f>
        <v>$3.001 to $7.000</v>
      </c>
    </row>
    <row r="882" spans="1:37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VLOOKUP(A882,Assets!$B$7:$C$11,2,TRUE)</f>
        <v>26 to 35 years old</v>
      </c>
      <c r="AK882" t="str">
        <f>VLOOKUP(S882,Assets!$B$11:$C$26,2,TRUE)</f>
        <v>Up to $3.000</v>
      </c>
    </row>
    <row r="883" spans="1:37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VLOOKUP(A883,Assets!$B$7:$C$11,2,TRUE)</f>
        <v>26 to 35 years old</v>
      </c>
      <c r="AK883" t="str">
        <f>VLOOKUP(S883,Assets!$B$11:$C$26,2,TRUE)</f>
        <v>$3.001 to $7.000</v>
      </c>
    </row>
    <row r="884" spans="1:37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VLOOKUP(A884,Assets!$B$7:$C$11,2,TRUE)</f>
        <v>36 to 45 years old</v>
      </c>
      <c r="AK884" t="str">
        <f>VLOOKUP(S884,Assets!$B$11:$C$26,2,TRUE)</f>
        <v>$7.001 to $12.000</v>
      </c>
    </row>
    <row r="885" spans="1:37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VLOOKUP(A885,Assets!$B$7:$C$11,2,TRUE)</f>
        <v>26 to 35 years old</v>
      </c>
      <c r="AK885" t="str">
        <f>VLOOKUP(S885,Assets!$B$11:$C$26,2,TRUE)</f>
        <v>Up to $3.000</v>
      </c>
    </row>
    <row r="886" spans="1:37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VLOOKUP(A886,Assets!$B$7:$C$11,2,TRUE)</f>
        <v>36 to 45 years old</v>
      </c>
      <c r="AK886" t="str">
        <f>VLOOKUP(S886,Assets!$B$11:$C$26,2,TRUE)</f>
        <v>$3.001 to $7.000</v>
      </c>
    </row>
    <row r="887" spans="1:37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VLOOKUP(A887,Assets!$B$7:$C$11,2,TRUE)</f>
        <v>18 to 25 years old</v>
      </c>
      <c r="AK887" t="str">
        <f>VLOOKUP(S887,Assets!$B$11:$C$26,2,TRUE)</f>
        <v>$3.001 to $7.000</v>
      </c>
    </row>
    <row r="888" spans="1:37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VLOOKUP(A888,Assets!$B$7:$C$11,2,TRUE)</f>
        <v>26 to 35 years old</v>
      </c>
      <c r="AK888" t="str">
        <f>VLOOKUP(S888,Assets!$B$11:$C$26,2,TRUE)</f>
        <v>$3.001 to $7.000</v>
      </c>
    </row>
    <row r="889" spans="1:37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VLOOKUP(A889,Assets!$B$7:$C$11,2,TRUE)</f>
        <v>36 to 45 years old</v>
      </c>
      <c r="AK889" t="str">
        <f>VLOOKUP(S889,Assets!$B$11:$C$26,2,TRUE)</f>
        <v>Over $12.000</v>
      </c>
    </row>
    <row r="890" spans="1:37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VLOOKUP(A890,Assets!$B$7:$C$11,2,TRUE)</f>
        <v>26 to 35 years old</v>
      </c>
      <c r="AK890" t="str">
        <f>VLOOKUP(S890,Assets!$B$11:$C$26,2,TRUE)</f>
        <v>$7.001 to $12.000</v>
      </c>
    </row>
    <row r="891" spans="1:37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VLOOKUP(A891,Assets!$B$7:$C$11,2,TRUE)</f>
        <v>26 to 35 years old</v>
      </c>
      <c r="AK891" t="str">
        <f>VLOOKUP(S891,Assets!$B$11:$C$26,2,TRUE)</f>
        <v>Up to $3.000</v>
      </c>
    </row>
    <row r="892" spans="1:37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VLOOKUP(A892,Assets!$B$7:$C$11,2,TRUE)</f>
        <v>46 to 55 years old</v>
      </c>
      <c r="AK892" t="str">
        <f>VLOOKUP(S892,Assets!$B$11:$C$26,2,TRUE)</f>
        <v>$7.001 to $12.000</v>
      </c>
    </row>
    <row r="893" spans="1:37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VLOOKUP(A893,Assets!$B$7:$C$11,2,TRUE)</f>
        <v>36 to 45 years old</v>
      </c>
      <c r="AK893" t="str">
        <f>VLOOKUP(S893,Assets!$B$11:$C$26,2,TRUE)</f>
        <v>Up to $3.000</v>
      </c>
    </row>
    <row r="894" spans="1:37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VLOOKUP(A894,Assets!$B$7:$C$11,2,TRUE)</f>
        <v>18 to 25 years old</v>
      </c>
      <c r="AK894" t="str">
        <f>VLOOKUP(S894,Assets!$B$11:$C$26,2,TRUE)</f>
        <v>Up to $3.000</v>
      </c>
    </row>
    <row r="895" spans="1:37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VLOOKUP(A895,Assets!$B$7:$C$11,2,TRUE)</f>
        <v>26 to 35 years old</v>
      </c>
      <c r="AK895" t="str">
        <f>VLOOKUP(S895,Assets!$B$11:$C$26,2,TRUE)</f>
        <v>$3.001 to $7.000</v>
      </c>
    </row>
    <row r="896" spans="1:37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VLOOKUP(A896,Assets!$B$7:$C$11,2,TRUE)</f>
        <v>46 to 55 years old</v>
      </c>
      <c r="AK896" t="str">
        <f>VLOOKUP(S896,Assets!$B$11:$C$26,2,TRUE)</f>
        <v>Over $12.000</v>
      </c>
    </row>
    <row r="897" spans="1:37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VLOOKUP(A897,Assets!$B$7:$C$11,2,TRUE)</f>
        <v>26 to 35 years old</v>
      </c>
      <c r="AK897" t="str">
        <f>VLOOKUP(S897,Assets!$B$11:$C$26,2,TRUE)</f>
        <v>$3.001 to $7.000</v>
      </c>
    </row>
    <row r="898" spans="1:37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VLOOKUP(A898,Assets!$B$7:$C$11,2,TRUE)</f>
        <v>26 to 35 years old</v>
      </c>
      <c r="AK898" t="str">
        <f>VLOOKUP(S898,Assets!$B$11:$C$26,2,TRUE)</f>
        <v>$3.001 to $7.000</v>
      </c>
    </row>
    <row r="899" spans="1:37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VLOOKUP(A899,Assets!$B$7:$C$11,2,TRUE)</f>
        <v>56 years or older</v>
      </c>
      <c r="AK899" t="str">
        <f>VLOOKUP(S899,Assets!$B$11:$C$26,2,TRUE)</f>
        <v>$3.001 to $7.000</v>
      </c>
    </row>
    <row r="900" spans="1:37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VLOOKUP(A900,Assets!$B$7:$C$11,2,TRUE)</f>
        <v>36 to 45 years old</v>
      </c>
      <c r="AK900" t="str">
        <f>VLOOKUP(S900,Assets!$B$11:$C$26,2,TRUE)</f>
        <v>Over $12.000</v>
      </c>
    </row>
    <row r="901" spans="1:37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VLOOKUP(A901,Assets!$B$7:$C$11,2,TRUE)</f>
        <v>46 to 55 years old</v>
      </c>
      <c r="AK901" t="str">
        <f>VLOOKUP(S901,Assets!$B$11:$C$26,2,TRUE)</f>
        <v>Over $12.000</v>
      </c>
    </row>
    <row r="902" spans="1:37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VLOOKUP(A902,Assets!$B$7:$C$11,2,TRUE)</f>
        <v>36 to 45 years old</v>
      </c>
      <c r="AK902" t="str">
        <f>VLOOKUP(S902,Assets!$B$11:$C$26,2,TRUE)</f>
        <v>$3.001 to $7.000</v>
      </c>
    </row>
    <row r="903" spans="1:37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VLOOKUP(A903,Assets!$B$7:$C$11,2,TRUE)</f>
        <v>46 to 55 years old</v>
      </c>
      <c r="AK903" t="str">
        <f>VLOOKUP(S903,Assets!$B$11:$C$26,2,TRUE)</f>
        <v>Up to $3.000</v>
      </c>
    </row>
    <row r="904" spans="1:37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VLOOKUP(A904,Assets!$B$7:$C$11,2,TRUE)</f>
        <v>26 to 35 years old</v>
      </c>
      <c r="AK904" t="str">
        <f>VLOOKUP(S904,Assets!$B$11:$C$26,2,TRUE)</f>
        <v>Up to $3.000</v>
      </c>
    </row>
    <row r="905" spans="1:37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VLOOKUP(A905,Assets!$B$7:$C$11,2,TRUE)</f>
        <v>26 to 35 years old</v>
      </c>
      <c r="AK905" t="str">
        <f>VLOOKUP(S905,Assets!$B$11:$C$26,2,TRUE)</f>
        <v>$3.001 to $7.000</v>
      </c>
    </row>
    <row r="906" spans="1:37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VLOOKUP(A906,Assets!$B$7:$C$11,2,TRUE)</f>
        <v>46 to 55 years old</v>
      </c>
      <c r="AK906" t="str">
        <f>VLOOKUP(S906,Assets!$B$11:$C$26,2,TRUE)</f>
        <v>Over $12.000</v>
      </c>
    </row>
    <row r="907" spans="1:37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VLOOKUP(A907,Assets!$B$7:$C$11,2,TRUE)</f>
        <v>26 to 35 years old</v>
      </c>
      <c r="AK907" t="str">
        <f>VLOOKUP(S907,Assets!$B$11:$C$26,2,TRUE)</f>
        <v>Over $12.000</v>
      </c>
    </row>
    <row r="908" spans="1:37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VLOOKUP(A908,Assets!$B$7:$C$11,2,TRUE)</f>
        <v>26 to 35 years old</v>
      </c>
      <c r="AK908" t="str">
        <f>VLOOKUP(S908,Assets!$B$11:$C$26,2,TRUE)</f>
        <v>Up to $3.000</v>
      </c>
    </row>
    <row r="909" spans="1:37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VLOOKUP(A909,Assets!$B$7:$C$11,2,TRUE)</f>
        <v>36 to 45 years old</v>
      </c>
      <c r="AK909" t="str">
        <f>VLOOKUP(S909,Assets!$B$11:$C$26,2,TRUE)</f>
        <v>Over $12.000</v>
      </c>
    </row>
    <row r="910" spans="1:37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VLOOKUP(A910,Assets!$B$7:$C$11,2,TRUE)</f>
        <v>26 to 35 years old</v>
      </c>
      <c r="AK910" t="str">
        <f>VLOOKUP(S910,Assets!$B$11:$C$26,2,TRUE)</f>
        <v>$7.001 to $12.000</v>
      </c>
    </row>
    <row r="911" spans="1:37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VLOOKUP(A911,Assets!$B$7:$C$11,2,TRUE)</f>
        <v>18 to 25 years old</v>
      </c>
      <c r="AK911" t="str">
        <f>VLOOKUP(S911,Assets!$B$11:$C$26,2,TRUE)</f>
        <v>Up to $3.000</v>
      </c>
    </row>
    <row r="912" spans="1:37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VLOOKUP(A912,Assets!$B$7:$C$11,2,TRUE)</f>
        <v>18 to 25 years old</v>
      </c>
      <c r="AK912" t="str">
        <f>VLOOKUP(S912,Assets!$B$11:$C$26,2,TRUE)</f>
        <v>Up to $3.000</v>
      </c>
    </row>
    <row r="913" spans="1:37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VLOOKUP(A913,Assets!$B$7:$C$11,2,TRUE)</f>
        <v>18 to 25 years old</v>
      </c>
      <c r="AK913" t="str">
        <f>VLOOKUP(S913,Assets!$B$11:$C$26,2,TRUE)</f>
        <v>Up to $3.000</v>
      </c>
    </row>
    <row r="914" spans="1:37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VLOOKUP(A914,Assets!$B$7:$C$11,2,TRUE)</f>
        <v>26 to 35 years old</v>
      </c>
      <c r="AK914" t="str">
        <f>VLOOKUP(S914,Assets!$B$11:$C$26,2,TRUE)</f>
        <v>Up to $3.000</v>
      </c>
    </row>
    <row r="915" spans="1:37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VLOOKUP(A915,Assets!$B$7:$C$11,2,TRUE)</f>
        <v>36 to 45 years old</v>
      </c>
      <c r="AK915" t="str">
        <f>VLOOKUP(S915,Assets!$B$11:$C$26,2,TRUE)</f>
        <v>Over $12.000</v>
      </c>
    </row>
    <row r="916" spans="1:37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VLOOKUP(A916,Assets!$B$7:$C$11,2,TRUE)</f>
        <v>46 to 55 years old</v>
      </c>
      <c r="AK916" t="str">
        <f>VLOOKUP(S916,Assets!$B$11:$C$26,2,TRUE)</f>
        <v>Over $12.000</v>
      </c>
    </row>
    <row r="917" spans="1:37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VLOOKUP(A917,Assets!$B$7:$C$11,2,TRUE)</f>
        <v>18 to 25 years old</v>
      </c>
      <c r="AK917" t="str">
        <f>VLOOKUP(S917,Assets!$B$11:$C$26,2,TRUE)</f>
        <v>Up to $3.000</v>
      </c>
    </row>
    <row r="918" spans="1:37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VLOOKUP(A918,Assets!$B$7:$C$11,2,TRUE)</f>
        <v>46 to 55 years old</v>
      </c>
      <c r="AK918" t="str">
        <f>VLOOKUP(S918,Assets!$B$11:$C$26,2,TRUE)</f>
        <v>Over $12.000</v>
      </c>
    </row>
    <row r="919" spans="1:37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VLOOKUP(A919,Assets!$B$7:$C$11,2,TRUE)</f>
        <v>26 to 35 years old</v>
      </c>
      <c r="AK919" t="str">
        <f>VLOOKUP(S919,Assets!$B$11:$C$26,2,TRUE)</f>
        <v>$3.001 to $7.000</v>
      </c>
    </row>
    <row r="920" spans="1:37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VLOOKUP(A920,Assets!$B$7:$C$11,2,TRUE)</f>
        <v>46 to 55 years old</v>
      </c>
      <c r="AK920" t="str">
        <f>VLOOKUP(S920,Assets!$B$11:$C$26,2,TRUE)</f>
        <v>Over $12.000</v>
      </c>
    </row>
    <row r="921" spans="1:37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VLOOKUP(A921,Assets!$B$7:$C$11,2,TRUE)</f>
        <v>56 years or older</v>
      </c>
      <c r="AK921" t="str">
        <f>VLOOKUP(S921,Assets!$B$11:$C$26,2,TRUE)</f>
        <v>$7.001 to $12.000</v>
      </c>
    </row>
    <row r="922" spans="1:37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VLOOKUP(A922,Assets!$B$7:$C$11,2,TRUE)</f>
        <v>26 to 35 years old</v>
      </c>
      <c r="AK922" t="str">
        <f>VLOOKUP(S922,Assets!$B$11:$C$26,2,TRUE)</f>
        <v>$3.001 to $7.000</v>
      </c>
    </row>
    <row r="923" spans="1:37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VLOOKUP(A923,Assets!$B$7:$C$11,2,TRUE)</f>
        <v>26 to 35 years old</v>
      </c>
      <c r="AK923" t="str">
        <f>VLOOKUP(S923,Assets!$B$11:$C$26,2,TRUE)</f>
        <v>Up to $3.000</v>
      </c>
    </row>
    <row r="924" spans="1:37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VLOOKUP(A924,Assets!$B$7:$C$11,2,TRUE)</f>
        <v>36 to 45 years old</v>
      </c>
      <c r="AK924" t="str">
        <f>VLOOKUP(S924,Assets!$B$11:$C$26,2,TRUE)</f>
        <v>Over $12.000</v>
      </c>
    </row>
    <row r="925" spans="1:37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VLOOKUP(A925,Assets!$B$7:$C$11,2,TRUE)</f>
        <v>26 to 35 years old</v>
      </c>
      <c r="AK925" t="str">
        <f>VLOOKUP(S925,Assets!$B$11:$C$26,2,TRUE)</f>
        <v>$3.001 to $7.000</v>
      </c>
    </row>
    <row r="926" spans="1:37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VLOOKUP(A926,Assets!$B$7:$C$11,2,TRUE)</f>
        <v>26 to 35 years old</v>
      </c>
      <c r="AK926" t="str">
        <f>VLOOKUP(S926,Assets!$B$11:$C$26,2,TRUE)</f>
        <v>$3.001 to $7.000</v>
      </c>
    </row>
    <row r="927" spans="1:37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VLOOKUP(A927,Assets!$B$7:$C$11,2,TRUE)</f>
        <v>36 to 45 years old</v>
      </c>
      <c r="AK927" t="str">
        <f>VLOOKUP(S927,Assets!$B$11:$C$26,2,TRUE)</f>
        <v>Up to $3.000</v>
      </c>
    </row>
    <row r="928" spans="1:37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VLOOKUP(A928,Assets!$B$7:$C$11,2,TRUE)</f>
        <v>36 to 45 years old</v>
      </c>
      <c r="AK928" t="str">
        <f>VLOOKUP(S928,Assets!$B$11:$C$26,2,TRUE)</f>
        <v>$7.001 to $12.000</v>
      </c>
    </row>
    <row r="929" spans="1:37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VLOOKUP(A929,Assets!$B$7:$C$11,2,TRUE)</f>
        <v>36 to 45 years old</v>
      </c>
      <c r="AK929" t="str">
        <f>VLOOKUP(S929,Assets!$B$11:$C$26,2,TRUE)</f>
        <v>$3.001 to $7.000</v>
      </c>
    </row>
    <row r="930" spans="1:37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VLOOKUP(A930,Assets!$B$7:$C$11,2,TRUE)</f>
        <v>36 to 45 years old</v>
      </c>
      <c r="AK930" t="str">
        <f>VLOOKUP(S930,Assets!$B$11:$C$26,2,TRUE)</f>
        <v>$7.001 to $12.000</v>
      </c>
    </row>
    <row r="931" spans="1:37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VLOOKUP(A931,Assets!$B$7:$C$11,2,TRUE)</f>
        <v>26 to 35 years old</v>
      </c>
      <c r="AK931" t="str">
        <f>VLOOKUP(S931,Assets!$B$11:$C$26,2,TRUE)</f>
        <v>$3.001 to $7.000</v>
      </c>
    </row>
    <row r="932" spans="1:37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VLOOKUP(A932,Assets!$B$7:$C$11,2,TRUE)</f>
        <v>46 to 55 years old</v>
      </c>
      <c r="AK932" t="str">
        <f>VLOOKUP(S932,Assets!$B$11:$C$26,2,TRUE)</f>
        <v>Up to $3.000</v>
      </c>
    </row>
    <row r="933" spans="1:37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VLOOKUP(A933,Assets!$B$7:$C$11,2,TRUE)</f>
        <v>26 to 35 years old</v>
      </c>
      <c r="AK933" t="str">
        <f>VLOOKUP(S933,Assets!$B$11:$C$26,2,TRUE)</f>
        <v>$3.001 to $7.000</v>
      </c>
    </row>
    <row r="934" spans="1:37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VLOOKUP(A934,Assets!$B$7:$C$11,2,TRUE)</f>
        <v>26 to 35 years old</v>
      </c>
      <c r="AK934" t="str">
        <f>VLOOKUP(S934,Assets!$B$11:$C$26,2,TRUE)</f>
        <v>$3.001 to $7.000</v>
      </c>
    </row>
    <row r="935" spans="1:37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VLOOKUP(A935,Assets!$B$7:$C$11,2,TRUE)</f>
        <v>26 to 35 years old</v>
      </c>
      <c r="AK935" t="str">
        <f>VLOOKUP(S935,Assets!$B$11:$C$26,2,TRUE)</f>
        <v>Up to $3.000</v>
      </c>
    </row>
    <row r="936" spans="1:37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VLOOKUP(A936,Assets!$B$7:$C$11,2,TRUE)</f>
        <v>18 to 25 years old</v>
      </c>
      <c r="AK936" t="str">
        <f>VLOOKUP(S936,Assets!$B$11:$C$26,2,TRUE)</f>
        <v>Up to $3.000</v>
      </c>
    </row>
    <row r="937" spans="1:37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VLOOKUP(A937,Assets!$B$7:$C$11,2,TRUE)</f>
        <v>26 to 35 years old</v>
      </c>
      <c r="AK937" t="str">
        <f>VLOOKUP(S937,Assets!$B$11:$C$26,2,TRUE)</f>
        <v>$3.001 to $7.000</v>
      </c>
    </row>
    <row r="938" spans="1:37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VLOOKUP(A938,Assets!$B$7:$C$11,2,TRUE)</f>
        <v>36 to 45 years old</v>
      </c>
      <c r="AK938" t="str">
        <f>VLOOKUP(S938,Assets!$B$11:$C$26,2,TRUE)</f>
        <v>Over $12.000</v>
      </c>
    </row>
    <row r="939" spans="1:37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VLOOKUP(A939,Assets!$B$7:$C$11,2,TRUE)</f>
        <v>36 to 45 years old</v>
      </c>
      <c r="AK939" t="str">
        <f>VLOOKUP(S939,Assets!$B$11:$C$26,2,TRUE)</f>
        <v>Over $12.000</v>
      </c>
    </row>
    <row r="940" spans="1:37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VLOOKUP(A940,Assets!$B$7:$C$11,2,TRUE)</f>
        <v>56 years or older</v>
      </c>
      <c r="AK940" t="str">
        <f>VLOOKUP(S940,Assets!$B$11:$C$26,2,TRUE)</f>
        <v>Up to $3.000</v>
      </c>
    </row>
    <row r="941" spans="1:37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VLOOKUP(A941,Assets!$B$7:$C$11,2,TRUE)</f>
        <v>26 to 35 years old</v>
      </c>
      <c r="AK941" t="str">
        <f>VLOOKUP(S941,Assets!$B$11:$C$26,2,TRUE)</f>
        <v>$3.001 to $7.000</v>
      </c>
    </row>
    <row r="942" spans="1:37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VLOOKUP(A942,Assets!$B$7:$C$11,2,TRUE)</f>
        <v>36 to 45 years old</v>
      </c>
      <c r="AK942" t="str">
        <f>VLOOKUP(S942,Assets!$B$11:$C$26,2,TRUE)</f>
        <v>$3.001 to $7.000</v>
      </c>
    </row>
    <row r="943" spans="1:37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VLOOKUP(A943,Assets!$B$7:$C$11,2,TRUE)</f>
        <v>26 to 35 years old</v>
      </c>
      <c r="AK943" t="str">
        <f>VLOOKUP(S943,Assets!$B$11:$C$26,2,TRUE)</f>
        <v>$3.001 to $7.000</v>
      </c>
    </row>
    <row r="944" spans="1:37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VLOOKUP(A944,Assets!$B$7:$C$11,2,TRUE)</f>
        <v>36 to 45 years old</v>
      </c>
      <c r="AK944" t="str">
        <f>VLOOKUP(S944,Assets!$B$11:$C$26,2,TRUE)</f>
        <v>$7.001 to $12.000</v>
      </c>
    </row>
    <row r="945" spans="1:37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VLOOKUP(A945,Assets!$B$7:$C$11,2,TRUE)</f>
        <v>46 to 55 years old</v>
      </c>
      <c r="AK945" t="str">
        <f>VLOOKUP(S945,Assets!$B$11:$C$26,2,TRUE)</f>
        <v>$3.001 to $7.000</v>
      </c>
    </row>
    <row r="946" spans="1:37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VLOOKUP(A946,Assets!$B$7:$C$11,2,TRUE)</f>
        <v>26 to 35 years old</v>
      </c>
      <c r="AK946" t="str">
        <f>VLOOKUP(S946,Assets!$B$11:$C$26,2,TRUE)</f>
        <v>$3.001 to $7.000</v>
      </c>
    </row>
    <row r="947" spans="1:37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VLOOKUP(A947,Assets!$B$7:$C$11,2,TRUE)</f>
        <v>46 to 55 years old</v>
      </c>
      <c r="AK947" t="str">
        <f>VLOOKUP(S947,Assets!$B$11:$C$26,2,TRUE)</f>
        <v>Over $12.000</v>
      </c>
    </row>
    <row r="948" spans="1:37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VLOOKUP(A948,Assets!$B$7:$C$11,2,TRUE)</f>
        <v>36 to 45 years old</v>
      </c>
      <c r="AK948" t="str">
        <f>VLOOKUP(S948,Assets!$B$11:$C$26,2,TRUE)</f>
        <v>$7.001 to $12.000</v>
      </c>
    </row>
    <row r="949" spans="1:37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VLOOKUP(A949,Assets!$B$7:$C$11,2,TRUE)</f>
        <v>46 to 55 years old</v>
      </c>
      <c r="AK949" t="str">
        <f>VLOOKUP(S949,Assets!$B$11:$C$26,2,TRUE)</f>
        <v>$7.001 to $12.000</v>
      </c>
    </row>
    <row r="950" spans="1:37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VLOOKUP(A950,Assets!$B$7:$C$11,2,TRUE)</f>
        <v>26 to 35 years old</v>
      </c>
      <c r="AK950" t="str">
        <f>VLOOKUP(S950,Assets!$B$11:$C$26,2,TRUE)</f>
        <v>$7.001 to $12.000</v>
      </c>
    </row>
    <row r="951" spans="1:37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VLOOKUP(A951,Assets!$B$7:$C$11,2,TRUE)</f>
        <v>36 to 45 years old</v>
      </c>
      <c r="AK951" t="str">
        <f>VLOOKUP(S951,Assets!$B$11:$C$26,2,TRUE)</f>
        <v>$3.001 to $7.000</v>
      </c>
    </row>
    <row r="952" spans="1:37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VLOOKUP(A952,Assets!$B$7:$C$11,2,TRUE)</f>
        <v>26 to 35 years old</v>
      </c>
      <c r="AK952" t="str">
        <f>VLOOKUP(S952,Assets!$B$11:$C$26,2,TRUE)</f>
        <v>$7.001 to $12.000</v>
      </c>
    </row>
    <row r="953" spans="1:37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VLOOKUP(A953,Assets!$B$7:$C$11,2,TRUE)</f>
        <v>36 to 45 years old</v>
      </c>
      <c r="AK953" t="str">
        <f>VLOOKUP(S953,Assets!$B$11:$C$26,2,TRUE)</f>
        <v>$3.001 to $7.000</v>
      </c>
    </row>
    <row r="954" spans="1:37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VLOOKUP(A954,Assets!$B$7:$C$11,2,TRUE)</f>
        <v>26 to 35 years old</v>
      </c>
      <c r="AK954" t="str">
        <f>VLOOKUP(S954,Assets!$B$11:$C$26,2,TRUE)</f>
        <v>Up to $3.000</v>
      </c>
    </row>
    <row r="955" spans="1:37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VLOOKUP(A955,Assets!$B$7:$C$11,2,TRUE)</f>
        <v>36 to 45 years old</v>
      </c>
      <c r="AK955" t="str">
        <f>VLOOKUP(S955,Assets!$B$11:$C$26,2,TRUE)</f>
        <v>Up to $3.000</v>
      </c>
    </row>
    <row r="956" spans="1:37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VLOOKUP(A956,Assets!$B$7:$C$11,2,TRUE)</f>
        <v>36 to 45 years old</v>
      </c>
      <c r="AK956" t="str">
        <f>VLOOKUP(S956,Assets!$B$11:$C$26,2,TRUE)</f>
        <v>Over $12.000</v>
      </c>
    </row>
    <row r="957" spans="1:37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VLOOKUP(A957,Assets!$B$7:$C$11,2,TRUE)</f>
        <v>46 to 55 years old</v>
      </c>
      <c r="AK957" t="str">
        <f>VLOOKUP(S957,Assets!$B$11:$C$26,2,TRUE)</f>
        <v>Over $12.000</v>
      </c>
    </row>
    <row r="958" spans="1:37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VLOOKUP(A958,Assets!$B$7:$C$11,2,TRUE)</f>
        <v>56 years or older</v>
      </c>
      <c r="AK958" t="str">
        <f>VLOOKUP(S958,Assets!$B$11:$C$26,2,TRUE)</f>
        <v>Over $12.000</v>
      </c>
    </row>
    <row r="959" spans="1:37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VLOOKUP(A959,Assets!$B$7:$C$11,2,TRUE)</f>
        <v>36 to 45 years old</v>
      </c>
      <c r="AK959" t="str">
        <f>VLOOKUP(S959,Assets!$B$11:$C$26,2,TRUE)</f>
        <v>$3.001 to $7.000</v>
      </c>
    </row>
    <row r="960" spans="1:37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VLOOKUP(A960,Assets!$B$7:$C$11,2,TRUE)</f>
        <v>26 to 35 years old</v>
      </c>
      <c r="AK960" t="str">
        <f>VLOOKUP(S960,Assets!$B$11:$C$26,2,TRUE)</f>
        <v>$7.001 to $12.000</v>
      </c>
    </row>
    <row r="961" spans="1:37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VLOOKUP(A961,Assets!$B$7:$C$11,2,TRUE)</f>
        <v>36 to 45 years old</v>
      </c>
      <c r="AK961" t="str">
        <f>VLOOKUP(S961,Assets!$B$11:$C$26,2,TRUE)</f>
        <v>$3.001 to $7.000</v>
      </c>
    </row>
    <row r="962" spans="1:37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VLOOKUP(A962,Assets!$B$7:$C$11,2,TRUE)</f>
        <v>36 to 45 years old</v>
      </c>
      <c r="AK962" t="str">
        <f>VLOOKUP(S962,Assets!$B$11:$C$26,2,TRUE)</f>
        <v>$3.001 to $7.000</v>
      </c>
    </row>
    <row r="963" spans="1:37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VLOOKUP(A963,Assets!$B$7:$C$11,2,TRUE)</f>
        <v>26 to 35 years old</v>
      </c>
      <c r="AK963" t="str">
        <f>VLOOKUP(S963,Assets!$B$11:$C$26,2,TRUE)</f>
        <v>$3.001 to $7.000</v>
      </c>
    </row>
    <row r="964" spans="1:37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VLOOKUP(A964,Assets!$B$7:$C$11,2,TRUE)</f>
        <v>46 to 55 years old</v>
      </c>
      <c r="AK964" t="str">
        <f>VLOOKUP(S964,Assets!$B$11:$C$26,2,TRUE)</f>
        <v>Over $12.000</v>
      </c>
    </row>
    <row r="965" spans="1:37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VLOOKUP(A965,Assets!$B$7:$C$11,2,TRUE)</f>
        <v>36 to 45 years old</v>
      </c>
      <c r="AK965" t="str">
        <f>VLOOKUP(S965,Assets!$B$11:$C$26,2,TRUE)</f>
        <v>$3.001 to $7.000</v>
      </c>
    </row>
    <row r="966" spans="1:37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VLOOKUP(A966,Assets!$B$7:$C$11,2,TRUE)</f>
        <v>26 to 35 years old</v>
      </c>
      <c r="AK966" t="str">
        <f>VLOOKUP(S966,Assets!$B$11:$C$26,2,TRUE)</f>
        <v>$3.001 to $7.000</v>
      </c>
    </row>
    <row r="967" spans="1:37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VLOOKUP(A967,Assets!$B$7:$C$11,2,TRUE)</f>
        <v>18 to 25 years old</v>
      </c>
      <c r="AK967" t="str">
        <f>VLOOKUP(S967,Assets!$B$11:$C$26,2,TRUE)</f>
        <v>$3.001 to $7.000</v>
      </c>
    </row>
    <row r="968" spans="1:37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VLOOKUP(A968,Assets!$B$7:$C$11,2,TRUE)</f>
        <v>56 years or older</v>
      </c>
      <c r="AK968" t="str">
        <f>VLOOKUP(S968,Assets!$B$11:$C$26,2,TRUE)</f>
        <v>$7.001 to $12.000</v>
      </c>
    </row>
    <row r="969" spans="1:37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VLOOKUP(A969,Assets!$B$7:$C$11,2,TRUE)</f>
        <v>36 to 45 years old</v>
      </c>
      <c r="AK969" t="str">
        <f>VLOOKUP(S969,Assets!$B$11:$C$26,2,TRUE)</f>
        <v>Up to $3.000</v>
      </c>
    </row>
    <row r="970" spans="1:37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VLOOKUP(A970,Assets!$B$7:$C$11,2,TRUE)</f>
        <v>36 to 45 years old</v>
      </c>
      <c r="AK970" t="str">
        <f>VLOOKUP(S970,Assets!$B$11:$C$26,2,TRUE)</f>
        <v>$3.001 to $7.000</v>
      </c>
    </row>
    <row r="971" spans="1:37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VLOOKUP(A971,Assets!$B$7:$C$11,2,TRUE)</f>
        <v>46 to 55 years old</v>
      </c>
      <c r="AK971" t="str">
        <f>VLOOKUP(S971,Assets!$B$11:$C$26,2,TRUE)</f>
        <v>$7.001 to $12.000</v>
      </c>
    </row>
    <row r="972" spans="1:37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VLOOKUP(A972,Assets!$B$7:$C$11,2,TRUE)</f>
        <v>26 to 35 years old</v>
      </c>
      <c r="AK972" t="str">
        <f>VLOOKUP(S972,Assets!$B$11:$C$26,2,TRUE)</f>
        <v>Up to $3.000</v>
      </c>
    </row>
    <row r="973" spans="1:37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VLOOKUP(A973,Assets!$B$7:$C$11,2,TRUE)</f>
        <v>46 to 55 years old</v>
      </c>
      <c r="AK973" t="str">
        <f>VLOOKUP(S973,Assets!$B$11:$C$26,2,TRUE)</f>
        <v>Over $12.000</v>
      </c>
    </row>
    <row r="974" spans="1:37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VLOOKUP(A974,Assets!$B$7:$C$11,2,TRUE)</f>
        <v>18 to 25 years old</v>
      </c>
      <c r="AK974" t="str">
        <f>VLOOKUP(S974,Assets!$B$11:$C$26,2,TRUE)</f>
        <v>Up to $3.000</v>
      </c>
    </row>
    <row r="975" spans="1:37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VLOOKUP(A975,Assets!$B$7:$C$11,2,TRUE)</f>
        <v>26 to 35 years old</v>
      </c>
      <c r="AK975" t="str">
        <f>VLOOKUP(S975,Assets!$B$11:$C$26,2,TRUE)</f>
        <v>$3.001 to $7.000</v>
      </c>
    </row>
    <row r="976" spans="1:37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VLOOKUP(A976,Assets!$B$7:$C$11,2,TRUE)</f>
        <v>26 to 35 years old</v>
      </c>
      <c r="AK976" t="str">
        <f>VLOOKUP(S976,Assets!$B$11:$C$26,2,TRUE)</f>
        <v>$3.001 to $7.000</v>
      </c>
    </row>
    <row r="977" spans="1:37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VLOOKUP(A977,Assets!$B$7:$C$11,2,TRUE)</f>
        <v>46 to 55 years old</v>
      </c>
      <c r="AK977" t="str">
        <f>VLOOKUP(S977,Assets!$B$11:$C$26,2,TRUE)</f>
        <v>Over $12.000</v>
      </c>
    </row>
    <row r="978" spans="1:37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VLOOKUP(A978,Assets!$B$7:$C$11,2,TRUE)</f>
        <v>56 years or older</v>
      </c>
      <c r="AK978" t="str">
        <f>VLOOKUP(S978,Assets!$B$11:$C$26,2,TRUE)</f>
        <v>Over $12.000</v>
      </c>
    </row>
    <row r="979" spans="1:37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VLOOKUP(A979,Assets!$B$7:$C$11,2,TRUE)</f>
        <v>26 to 35 years old</v>
      </c>
      <c r="AK979" t="str">
        <f>VLOOKUP(S979,Assets!$B$11:$C$26,2,TRUE)</f>
        <v>Up to $3.000</v>
      </c>
    </row>
    <row r="980" spans="1:37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VLOOKUP(A980,Assets!$B$7:$C$11,2,TRUE)</f>
        <v>36 to 45 years old</v>
      </c>
      <c r="AK980" t="str">
        <f>VLOOKUP(S980,Assets!$B$11:$C$26,2,TRUE)</f>
        <v>$3.001 to $7.000</v>
      </c>
    </row>
    <row r="981" spans="1:37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VLOOKUP(A981,Assets!$B$7:$C$11,2,TRUE)</f>
        <v>26 to 35 years old</v>
      </c>
      <c r="AK981" t="str">
        <f>VLOOKUP(S981,Assets!$B$11:$C$26,2,TRUE)</f>
        <v>$3.001 to $7.000</v>
      </c>
    </row>
    <row r="982" spans="1:37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VLOOKUP(A982,Assets!$B$7:$C$11,2,TRUE)</f>
        <v>26 to 35 years old</v>
      </c>
      <c r="AK982" t="str">
        <f>VLOOKUP(S982,Assets!$B$11:$C$26,2,TRUE)</f>
        <v>Up to $3.000</v>
      </c>
    </row>
    <row r="983" spans="1:37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VLOOKUP(A983,Assets!$B$7:$C$11,2,TRUE)</f>
        <v>26 to 35 years old</v>
      </c>
      <c r="AK983" t="str">
        <f>VLOOKUP(S983,Assets!$B$11:$C$26,2,TRUE)</f>
        <v>$3.001 to $7.000</v>
      </c>
    </row>
    <row r="984" spans="1:37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VLOOKUP(A984,Assets!$B$7:$C$11,2,TRUE)</f>
        <v>36 to 45 years old</v>
      </c>
      <c r="AK984" t="str">
        <f>VLOOKUP(S984,Assets!$B$11:$C$26,2,TRUE)</f>
        <v>Up to $3.000</v>
      </c>
    </row>
    <row r="985" spans="1:37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VLOOKUP(A985,Assets!$B$7:$C$11,2,TRUE)</f>
        <v>26 to 35 years old</v>
      </c>
      <c r="AK985" t="str">
        <f>VLOOKUP(S985,Assets!$B$11:$C$26,2,TRUE)</f>
        <v>$3.001 to $7.000</v>
      </c>
    </row>
    <row r="986" spans="1:37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VLOOKUP(A986,Assets!$B$7:$C$11,2,TRUE)</f>
        <v>26 to 35 years old</v>
      </c>
      <c r="AK986" t="str">
        <f>VLOOKUP(S986,Assets!$B$11:$C$26,2,TRUE)</f>
        <v>$3.001 to $7.000</v>
      </c>
    </row>
    <row r="987" spans="1:37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VLOOKUP(A987,Assets!$B$7:$C$11,2,TRUE)</f>
        <v>26 to 35 years old</v>
      </c>
      <c r="AK987" t="str">
        <f>VLOOKUP(S987,Assets!$B$11:$C$26,2,TRUE)</f>
        <v>$3.001 to $7.000</v>
      </c>
    </row>
    <row r="988" spans="1:37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VLOOKUP(A988,Assets!$B$7:$C$11,2,TRUE)</f>
        <v>36 to 45 years old</v>
      </c>
      <c r="AK988" t="str">
        <f>VLOOKUP(S988,Assets!$B$11:$C$26,2,TRUE)</f>
        <v>$3.001 to $7.000</v>
      </c>
    </row>
    <row r="989" spans="1:37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VLOOKUP(A989,Assets!$B$7:$C$11,2,TRUE)</f>
        <v>46 to 55 years old</v>
      </c>
      <c r="AK989" t="str">
        <f>VLOOKUP(S989,Assets!$B$11:$C$26,2,TRUE)</f>
        <v>$7.001 to $12.000</v>
      </c>
    </row>
    <row r="990" spans="1:37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VLOOKUP(A990,Assets!$B$7:$C$11,2,TRUE)</f>
        <v>36 to 45 years old</v>
      </c>
      <c r="AK990" t="str">
        <f>VLOOKUP(S990,Assets!$B$11:$C$26,2,TRUE)</f>
        <v>$3.001 to $7.000</v>
      </c>
    </row>
    <row r="991" spans="1:37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VLOOKUP(A991,Assets!$B$7:$C$11,2,TRUE)</f>
        <v>36 to 45 years old</v>
      </c>
      <c r="AK991" t="str">
        <f>VLOOKUP(S991,Assets!$B$11:$C$26,2,TRUE)</f>
        <v>Up to $3.000</v>
      </c>
    </row>
    <row r="992" spans="1:37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VLOOKUP(A992,Assets!$B$7:$C$11,2,TRUE)</f>
        <v>26 to 35 years old</v>
      </c>
      <c r="AK992" t="str">
        <f>VLOOKUP(S992,Assets!$B$11:$C$26,2,TRUE)</f>
        <v>$7.001 to $12.000</v>
      </c>
    </row>
    <row r="993" spans="1:37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VLOOKUP(A993,Assets!$B$7:$C$11,2,TRUE)</f>
        <v>26 to 35 years old</v>
      </c>
      <c r="AK993" t="str">
        <f>VLOOKUP(S993,Assets!$B$11:$C$26,2,TRUE)</f>
        <v>$3.001 to $7.000</v>
      </c>
    </row>
    <row r="994" spans="1:37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VLOOKUP(A994,Assets!$B$7:$C$11,2,TRUE)</f>
        <v>36 to 45 years old</v>
      </c>
      <c r="AK994" t="str">
        <f>VLOOKUP(S994,Assets!$B$11:$C$26,2,TRUE)</f>
        <v>$7.001 to $12.000</v>
      </c>
    </row>
    <row r="995" spans="1:37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VLOOKUP(A995,Assets!$B$7:$C$11,2,TRUE)</f>
        <v>18 to 25 years old</v>
      </c>
      <c r="AK995" t="str">
        <f>VLOOKUP(S995,Assets!$B$11:$C$26,2,TRUE)</f>
        <v>$3.001 to $7.000</v>
      </c>
    </row>
    <row r="996" spans="1:37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VLOOKUP(A996,Assets!$B$7:$C$11,2,TRUE)</f>
        <v>46 to 55 years old</v>
      </c>
      <c r="AK996" t="str">
        <f>VLOOKUP(S996,Assets!$B$11:$C$26,2,TRUE)</f>
        <v>Over $12.000</v>
      </c>
    </row>
    <row r="997" spans="1:37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VLOOKUP(A997,Assets!$B$7:$C$11,2,TRUE)</f>
        <v>36 to 45 years old</v>
      </c>
      <c r="AK997" t="str">
        <f>VLOOKUP(S997,Assets!$B$11:$C$26,2,TRUE)</f>
        <v>$3.001 to $7.000</v>
      </c>
    </row>
    <row r="998" spans="1:37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VLOOKUP(A998,Assets!$B$7:$C$11,2,TRUE)</f>
        <v>26 to 35 years old</v>
      </c>
      <c r="AK998" t="str">
        <f>VLOOKUP(S998,Assets!$B$11:$C$26,2,TRUE)</f>
        <v>$3.001 to $7.000</v>
      </c>
    </row>
    <row r="999" spans="1:37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VLOOKUP(A999,Assets!$B$7:$C$11,2,TRUE)</f>
        <v>26 to 35 years old</v>
      </c>
      <c r="AK999" t="str">
        <f>VLOOKUP(S999,Assets!$B$11:$C$26,2,TRUE)</f>
        <v>Up to $3.000</v>
      </c>
    </row>
    <row r="1000" spans="1:37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VLOOKUP(A1000,Assets!$B$7:$C$11,2,TRUE)</f>
        <v>26 to 35 years old</v>
      </c>
      <c r="AK1000" t="str">
        <f>VLOOKUP(S1000,Assets!$B$11:$C$26,2,TRUE)</f>
        <v>$3.001 to $7.000</v>
      </c>
    </row>
    <row r="1001" spans="1:37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VLOOKUP(A1001,Assets!$B$7:$C$11,2,TRUE)</f>
        <v>36 to 45 years old</v>
      </c>
      <c r="AK1001" t="str">
        <f>VLOOKUP(S1001,Assets!$B$11:$C$26,2,TRUE)</f>
        <v>Over $12.000</v>
      </c>
    </row>
    <row r="1002" spans="1:37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VLOOKUP(A1002,Assets!$B$7:$C$11,2,TRUE)</f>
        <v>46 to 55 years old</v>
      </c>
      <c r="AK1002" t="str">
        <f>VLOOKUP(S1002,Assets!$B$11:$C$26,2,TRUE)</f>
        <v>Up to $3.000</v>
      </c>
    </row>
    <row r="1003" spans="1:37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VLOOKUP(A1003,Assets!$B$7:$C$11,2,TRUE)</f>
        <v>36 to 45 years old</v>
      </c>
      <c r="AK1003" t="str">
        <f>VLOOKUP(S1003,Assets!$B$11:$C$26,2,TRUE)</f>
        <v>$3.001 to $7.000</v>
      </c>
    </row>
    <row r="1004" spans="1:37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VLOOKUP(A1004,Assets!$B$7:$C$11,2,TRUE)</f>
        <v>26 to 35 years old</v>
      </c>
      <c r="AK1004" t="str">
        <f>VLOOKUP(S1004,Assets!$B$11:$C$26,2,TRUE)</f>
        <v>$7.001 to $12.000</v>
      </c>
    </row>
    <row r="1005" spans="1:37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VLOOKUP(A1005,Assets!$B$7:$C$11,2,TRUE)</f>
        <v>18 to 25 years old</v>
      </c>
      <c r="AK1005" t="str">
        <f>VLOOKUP(S1005,Assets!$B$11:$C$26,2,TRUE)</f>
        <v>$3.001 to $7.000</v>
      </c>
    </row>
    <row r="1006" spans="1:37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VLOOKUP(A1006,Assets!$B$7:$C$11,2,TRUE)</f>
        <v>26 to 35 years old</v>
      </c>
      <c r="AK1006" t="str">
        <f>VLOOKUP(S1006,Assets!$B$11:$C$26,2,TRUE)</f>
        <v>$3.001 to $7.000</v>
      </c>
    </row>
    <row r="1007" spans="1:37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VLOOKUP(A1007,Assets!$B$7:$C$11,2,TRUE)</f>
        <v>26 to 35 years old</v>
      </c>
      <c r="AK1007" t="str">
        <f>VLOOKUP(S1007,Assets!$B$11:$C$26,2,TRUE)</f>
        <v>$7.001 to $12.000</v>
      </c>
    </row>
    <row r="1008" spans="1:37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VLOOKUP(A1008,Assets!$B$7:$C$11,2,TRUE)</f>
        <v>46 to 55 years old</v>
      </c>
      <c r="AK1008" t="str">
        <f>VLOOKUP(S1008,Assets!$B$11:$C$26,2,TRUE)</f>
        <v>$3.001 to $7.000</v>
      </c>
    </row>
    <row r="1009" spans="1:37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VLOOKUP(A1009,Assets!$B$7:$C$11,2,TRUE)</f>
        <v>26 to 35 years old</v>
      </c>
      <c r="AK1009" t="str">
        <f>VLOOKUP(S1009,Assets!$B$11:$C$26,2,TRUE)</f>
        <v>$7.001 to $12.000</v>
      </c>
    </row>
    <row r="1010" spans="1:37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VLOOKUP(A1010,Assets!$B$7:$C$11,2,TRUE)</f>
        <v>46 to 55 years old</v>
      </c>
      <c r="AK1010" t="str">
        <f>VLOOKUP(S1010,Assets!$B$11:$C$26,2,TRUE)</f>
        <v>Over $12.000</v>
      </c>
    </row>
    <row r="1011" spans="1:37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VLOOKUP(A1011,Assets!$B$7:$C$11,2,TRUE)</f>
        <v>56 years or older</v>
      </c>
      <c r="AK1011" t="str">
        <f>VLOOKUP(S1011,Assets!$B$11:$C$26,2,TRUE)</f>
        <v>Over $12.000</v>
      </c>
    </row>
    <row r="1012" spans="1:37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VLOOKUP(A1012,Assets!$B$7:$C$11,2,TRUE)</f>
        <v>46 to 55 years old</v>
      </c>
      <c r="AK1012" t="str">
        <f>VLOOKUP(S1012,Assets!$B$11:$C$26,2,TRUE)</f>
        <v>Over $12.000</v>
      </c>
    </row>
    <row r="1013" spans="1:37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VLOOKUP(A1013,Assets!$B$7:$C$11,2,TRUE)</f>
        <v>36 to 45 years old</v>
      </c>
      <c r="AK1013" t="str">
        <f>VLOOKUP(S1013,Assets!$B$11:$C$26,2,TRUE)</f>
        <v>$7.001 to $12.000</v>
      </c>
    </row>
    <row r="1014" spans="1:37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VLOOKUP(A1014,Assets!$B$7:$C$11,2,TRUE)</f>
        <v>26 to 35 years old</v>
      </c>
      <c r="AK1014" t="str">
        <f>VLOOKUP(S1014,Assets!$B$11:$C$26,2,TRUE)</f>
        <v>Up to $3.000</v>
      </c>
    </row>
    <row r="1015" spans="1:37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VLOOKUP(A1015,Assets!$B$7:$C$11,2,TRUE)</f>
        <v>26 to 35 years old</v>
      </c>
      <c r="AK1015" t="str">
        <f>VLOOKUP(S1015,Assets!$B$11:$C$26,2,TRUE)</f>
        <v>$3.001 to $7.000</v>
      </c>
    </row>
    <row r="1016" spans="1:37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VLOOKUP(A1016,Assets!$B$7:$C$11,2,TRUE)</f>
        <v>26 to 35 years old</v>
      </c>
      <c r="AK1016" t="str">
        <f>VLOOKUP(S1016,Assets!$B$11:$C$26,2,TRUE)</f>
        <v>Over $12.000</v>
      </c>
    </row>
    <row r="1017" spans="1:37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VLOOKUP(A1017,Assets!$B$7:$C$11,2,TRUE)</f>
        <v>26 to 35 years old</v>
      </c>
      <c r="AK1017" t="str">
        <f>VLOOKUP(S1017,Assets!$B$11:$C$26,2,TRUE)</f>
        <v>Up to $3.000</v>
      </c>
    </row>
    <row r="1018" spans="1:37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VLOOKUP(A1018,Assets!$B$7:$C$11,2,TRUE)</f>
        <v>26 to 35 years old</v>
      </c>
      <c r="AK1018" t="str">
        <f>VLOOKUP(S1018,Assets!$B$11:$C$26,2,TRUE)</f>
        <v>Up to $3.000</v>
      </c>
    </row>
    <row r="1019" spans="1:37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VLOOKUP(A1019,Assets!$B$7:$C$11,2,TRUE)</f>
        <v>26 to 35 years old</v>
      </c>
      <c r="AK1019" t="str">
        <f>VLOOKUP(S1019,Assets!$B$11:$C$26,2,TRUE)</f>
        <v>Up to $3.000</v>
      </c>
    </row>
    <row r="1020" spans="1:37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VLOOKUP(A1020,Assets!$B$7:$C$11,2,TRUE)</f>
        <v>36 to 45 years old</v>
      </c>
      <c r="AK1020" t="str">
        <f>VLOOKUP(S1020,Assets!$B$11:$C$26,2,TRUE)</f>
        <v>$3.001 to $7.000</v>
      </c>
    </row>
    <row r="1021" spans="1:37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VLOOKUP(A1021,Assets!$B$7:$C$11,2,TRUE)</f>
        <v>36 to 45 years old</v>
      </c>
      <c r="AK1021" t="str">
        <f>VLOOKUP(S1021,Assets!$B$11:$C$26,2,TRUE)</f>
        <v>$3.001 to $7.000</v>
      </c>
    </row>
    <row r="1022" spans="1:37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VLOOKUP(A1022,Assets!$B$7:$C$11,2,TRUE)</f>
        <v>46 to 55 years old</v>
      </c>
      <c r="AK1022" t="str">
        <f>VLOOKUP(S1022,Assets!$B$11:$C$26,2,TRUE)</f>
        <v>$3.001 to $7.000</v>
      </c>
    </row>
    <row r="1023" spans="1:37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VLOOKUP(A1023,Assets!$B$7:$C$11,2,TRUE)</f>
        <v>18 to 25 years old</v>
      </c>
      <c r="AK1023" t="str">
        <f>VLOOKUP(S1023,Assets!$B$11:$C$26,2,TRUE)</f>
        <v>$3.001 to $7.000</v>
      </c>
    </row>
    <row r="1024" spans="1:37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VLOOKUP(A1024,Assets!$B$7:$C$11,2,TRUE)</f>
        <v>36 to 45 years old</v>
      </c>
      <c r="AK1024" t="str">
        <f>VLOOKUP(S1024,Assets!$B$11:$C$26,2,TRUE)</f>
        <v>$3.001 to $7.000</v>
      </c>
    </row>
    <row r="1025" spans="1:37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VLOOKUP(A1025,Assets!$B$7:$C$11,2,TRUE)</f>
        <v>56 years or older</v>
      </c>
      <c r="AK1025" t="str">
        <f>VLOOKUP(S1025,Assets!$B$11:$C$26,2,TRUE)</f>
        <v>Up to $3.000</v>
      </c>
    </row>
    <row r="1026" spans="1:37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VLOOKUP(A1026,Assets!$B$7:$C$11,2,TRUE)</f>
        <v>46 to 55 years old</v>
      </c>
      <c r="AK1026" t="str">
        <f>VLOOKUP(S1026,Assets!$B$11:$C$26,2,TRUE)</f>
        <v>Over $12.000</v>
      </c>
    </row>
    <row r="1027" spans="1:37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VLOOKUP(A1027,Assets!$B$7:$C$11,2,TRUE)</f>
        <v>18 to 25 years old</v>
      </c>
      <c r="AK1027" t="str">
        <f>VLOOKUP(S1027,Assets!$B$11:$C$26,2,TRUE)</f>
        <v>$3.001 to $7.000</v>
      </c>
    </row>
    <row r="1028" spans="1:37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VLOOKUP(A1028,Assets!$B$7:$C$11,2,TRUE)</f>
        <v>26 to 35 years old</v>
      </c>
      <c r="AK1028" t="str">
        <f>VLOOKUP(S1028,Assets!$B$11:$C$26,2,TRUE)</f>
        <v>$7.001 to $12.000</v>
      </c>
    </row>
    <row r="1029" spans="1:37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VLOOKUP(A1029,Assets!$B$7:$C$11,2,TRUE)</f>
        <v>26 to 35 years old</v>
      </c>
      <c r="AK1029" t="str">
        <f>VLOOKUP(S1029,Assets!$B$11:$C$26,2,TRUE)</f>
        <v>$3.001 to $7.000</v>
      </c>
    </row>
    <row r="1030" spans="1:37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VLOOKUP(A1030,Assets!$B$7:$C$11,2,TRUE)</f>
        <v>36 to 45 years old</v>
      </c>
      <c r="AK1030" t="str">
        <f>VLOOKUP(S1030,Assets!$B$11:$C$26,2,TRUE)</f>
        <v>Up to $3.000</v>
      </c>
    </row>
    <row r="1031" spans="1:37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VLOOKUP(A1031,Assets!$B$7:$C$11,2,TRUE)</f>
        <v>36 to 45 years old</v>
      </c>
      <c r="AK1031" t="str">
        <f>VLOOKUP(S1031,Assets!$B$11:$C$26,2,TRUE)</f>
        <v>$3.001 to $7.000</v>
      </c>
    </row>
    <row r="1032" spans="1:37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VLOOKUP(A1032,Assets!$B$7:$C$11,2,TRUE)</f>
        <v>26 to 35 years old</v>
      </c>
      <c r="AK1032" t="str">
        <f>VLOOKUP(S1032,Assets!$B$11:$C$26,2,TRUE)</f>
        <v>$7.001 to $12.000</v>
      </c>
    </row>
    <row r="1033" spans="1:37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VLOOKUP(A1033,Assets!$B$7:$C$11,2,TRUE)</f>
        <v>46 to 55 years old</v>
      </c>
      <c r="AK1033" t="str">
        <f>VLOOKUP(S1033,Assets!$B$11:$C$26,2,TRUE)</f>
        <v>$7.001 to $12.000</v>
      </c>
    </row>
    <row r="1034" spans="1:37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VLOOKUP(A1034,Assets!$B$7:$C$11,2,TRUE)</f>
        <v>36 to 45 years old</v>
      </c>
      <c r="AK1034" t="str">
        <f>VLOOKUP(S1034,Assets!$B$11:$C$26,2,TRUE)</f>
        <v>$3.001 to $7.000</v>
      </c>
    </row>
    <row r="1035" spans="1:37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VLOOKUP(A1035,Assets!$B$7:$C$11,2,TRUE)</f>
        <v>26 to 35 years old</v>
      </c>
      <c r="AK1035" t="str">
        <f>VLOOKUP(S1035,Assets!$B$11:$C$26,2,TRUE)</f>
        <v>$7.001 to $12.000</v>
      </c>
    </row>
    <row r="1036" spans="1:37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VLOOKUP(A1036,Assets!$B$7:$C$11,2,TRUE)</f>
        <v>36 to 45 years old</v>
      </c>
      <c r="AK1036" t="str">
        <f>VLOOKUP(S1036,Assets!$B$11:$C$26,2,TRUE)</f>
        <v>$7.001 to $12.000</v>
      </c>
    </row>
    <row r="1037" spans="1:37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VLOOKUP(A1037,Assets!$B$7:$C$11,2,TRUE)</f>
        <v>26 to 35 years old</v>
      </c>
      <c r="AK1037" t="str">
        <f>VLOOKUP(S1037,Assets!$B$11:$C$26,2,TRUE)</f>
        <v>Up to $3.000</v>
      </c>
    </row>
    <row r="1038" spans="1:37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VLOOKUP(A1038,Assets!$B$7:$C$11,2,TRUE)</f>
        <v>26 to 35 years old</v>
      </c>
      <c r="AK1038" t="str">
        <f>VLOOKUP(S1038,Assets!$B$11:$C$26,2,TRUE)</f>
        <v>$3.001 to $7.000</v>
      </c>
    </row>
    <row r="1039" spans="1:37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VLOOKUP(A1039,Assets!$B$7:$C$11,2,TRUE)</f>
        <v>36 to 45 years old</v>
      </c>
      <c r="AK1039" t="str">
        <f>VLOOKUP(S1039,Assets!$B$11:$C$26,2,TRUE)</f>
        <v>$7.001 to $12.000</v>
      </c>
    </row>
    <row r="1040" spans="1:37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VLOOKUP(A1040,Assets!$B$7:$C$11,2,TRUE)</f>
        <v>46 to 55 years old</v>
      </c>
      <c r="AK1040" t="str">
        <f>VLOOKUP(S1040,Assets!$B$11:$C$26,2,TRUE)</f>
        <v>$3.001 to $7.000</v>
      </c>
    </row>
    <row r="1041" spans="1:37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VLOOKUP(A1041,Assets!$B$7:$C$11,2,TRUE)</f>
        <v>26 to 35 years old</v>
      </c>
      <c r="AK1041" t="str">
        <f>VLOOKUP(S1041,Assets!$B$11:$C$26,2,TRUE)</f>
        <v>Up to $3.000</v>
      </c>
    </row>
    <row r="1042" spans="1:37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VLOOKUP(A1042,Assets!$B$7:$C$11,2,TRUE)</f>
        <v>36 to 45 years old</v>
      </c>
      <c r="AK1042" t="str">
        <f>VLOOKUP(S1042,Assets!$B$11:$C$26,2,TRUE)</f>
        <v>Over $12.000</v>
      </c>
    </row>
    <row r="1043" spans="1:37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VLOOKUP(A1043,Assets!$B$7:$C$11,2,TRUE)</f>
        <v>26 to 35 years old</v>
      </c>
      <c r="AK1043" t="str">
        <f>VLOOKUP(S1043,Assets!$B$11:$C$26,2,TRUE)</f>
        <v>$7.001 to $12.000</v>
      </c>
    </row>
    <row r="1044" spans="1:37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VLOOKUP(A1044,Assets!$B$7:$C$11,2,TRUE)</f>
        <v>36 to 45 years old</v>
      </c>
      <c r="AK1044" t="str">
        <f>VLOOKUP(S1044,Assets!$B$11:$C$26,2,TRUE)</f>
        <v>$3.001 to $7.000</v>
      </c>
    </row>
    <row r="1045" spans="1:37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VLOOKUP(A1045,Assets!$B$7:$C$11,2,TRUE)</f>
        <v>46 to 55 years old</v>
      </c>
      <c r="AK1045" t="str">
        <f>VLOOKUP(S1045,Assets!$B$11:$C$26,2,TRUE)</f>
        <v>Over $12.000</v>
      </c>
    </row>
    <row r="1046" spans="1:37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VLOOKUP(A1046,Assets!$B$7:$C$11,2,TRUE)</f>
        <v>46 to 55 years old</v>
      </c>
      <c r="AK1046" t="str">
        <f>VLOOKUP(S1046,Assets!$B$11:$C$26,2,TRUE)</f>
        <v>$3.001 to $7.000</v>
      </c>
    </row>
    <row r="1047" spans="1:37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VLOOKUP(A1047,Assets!$B$7:$C$11,2,TRUE)</f>
        <v>36 to 45 years old</v>
      </c>
      <c r="AK1047" t="str">
        <f>VLOOKUP(S1047,Assets!$B$11:$C$26,2,TRUE)</f>
        <v>Up to $3.000</v>
      </c>
    </row>
    <row r="1048" spans="1:37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VLOOKUP(A1048,Assets!$B$7:$C$11,2,TRUE)</f>
        <v>36 to 45 years old</v>
      </c>
      <c r="AK1048" t="str">
        <f>VLOOKUP(S1048,Assets!$B$11:$C$26,2,TRUE)</f>
        <v>$3.001 to $7.000</v>
      </c>
    </row>
    <row r="1049" spans="1:37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VLOOKUP(A1049,Assets!$B$7:$C$11,2,TRUE)</f>
        <v>26 to 35 years old</v>
      </c>
      <c r="AK1049" t="str">
        <f>VLOOKUP(S1049,Assets!$B$11:$C$26,2,TRUE)</f>
        <v>$3.001 to $7.000</v>
      </c>
    </row>
    <row r="1050" spans="1:37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VLOOKUP(A1050,Assets!$B$7:$C$11,2,TRUE)</f>
        <v>26 to 35 years old</v>
      </c>
      <c r="AK1050" t="str">
        <f>VLOOKUP(S1050,Assets!$B$11:$C$26,2,TRUE)</f>
        <v>$3.001 to $7.000</v>
      </c>
    </row>
    <row r="1051" spans="1:37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VLOOKUP(A1051,Assets!$B$7:$C$11,2,TRUE)</f>
        <v>26 to 35 years old</v>
      </c>
      <c r="AK1051" t="str">
        <f>VLOOKUP(S1051,Assets!$B$11:$C$26,2,TRUE)</f>
        <v>$3.001 to $7.000</v>
      </c>
    </row>
    <row r="1052" spans="1:37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VLOOKUP(A1052,Assets!$B$7:$C$11,2,TRUE)</f>
        <v>36 to 45 years old</v>
      </c>
      <c r="AK1052" t="str">
        <f>VLOOKUP(S1052,Assets!$B$11:$C$26,2,TRUE)</f>
        <v>$3.001 to $7.000</v>
      </c>
    </row>
    <row r="1053" spans="1:37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VLOOKUP(A1053,Assets!$B$7:$C$11,2,TRUE)</f>
        <v>36 to 45 years old</v>
      </c>
      <c r="AK1053" t="str">
        <f>VLOOKUP(S1053,Assets!$B$11:$C$26,2,TRUE)</f>
        <v>$3.001 to $7.000</v>
      </c>
    </row>
    <row r="1054" spans="1:37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VLOOKUP(A1054,Assets!$B$7:$C$11,2,TRUE)</f>
        <v>26 to 35 years old</v>
      </c>
      <c r="AK1054" t="str">
        <f>VLOOKUP(S1054,Assets!$B$11:$C$26,2,TRUE)</f>
        <v>Up to $3.000</v>
      </c>
    </row>
    <row r="1055" spans="1:37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VLOOKUP(A1055,Assets!$B$7:$C$11,2,TRUE)</f>
        <v>56 years or older</v>
      </c>
      <c r="AK1055" t="str">
        <f>VLOOKUP(S1055,Assets!$B$11:$C$26,2,TRUE)</f>
        <v>$3.001 to $7.000</v>
      </c>
    </row>
    <row r="1056" spans="1:37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VLOOKUP(A1056,Assets!$B$7:$C$11,2,TRUE)</f>
        <v>46 to 55 years old</v>
      </c>
      <c r="AK1056" t="str">
        <f>VLOOKUP(S1056,Assets!$B$11:$C$26,2,TRUE)</f>
        <v>$7.001 to $12.000</v>
      </c>
    </row>
    <row r="1057" spans="1:37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VLOOKUP(A1057,Assets!$B$7:$C$11,2,TRUE)</f>
        <v>26 to 35 years old</v>
      </c>
      <c r="AK1057" t="str">
        <f>VLOOKUP(S1057,Assets!$B$11:$C$26,2,TRUE)</f>
        <v>Over $12.000</v>
      </c>
    </row>
    <row r="1058" spans="1:37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VLOOKUP(A1058,Assets!$B$7:$C$11,2,TRUE)</f>
        <v>26 to 35 years old</v>
      </c>
      <c r="AK1058" t="str">
        <f>VLOOKUP(S1058,Assets!$B$11:$C$26,2,TRUE)</f>
        <v>Up to $3.000</v>
      </c>
    </row>
    <row r="1059" spans="1:37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VLOOKUP(A1059,Assets!$B$7:$C$11,2,TRUE)</f>
        <v>26 to 35 years old</v>
      </c>
      <c r="AK1059" t="str">
        <f>VLOOKUP(S1059,Assets!$B$11:$C$26,2,TRUE)</f>
        <v>$3.001 to $7.000</v>
      </c>
    </row>
    <row r="1060" spans="1:37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VLOOKUP(A1060,Assets!$B$7:$C$11,2,TRUE)</f>
        <v>26 to 35 years old</v>
      </c>
      <c r="AK1060" t="str">
        <f>VLOOKUP(S1060,Assets!$B$11:$C$26,2,TRUE)</f>
        <v>$3.001 to $7.000</v>
      </c>
    </row>
    <row r="1061" spans="1:37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VLOOKUP(A1061,Assets!$B$7:$C$11,2,TRUE)</f>
        <v>26 to 35 years old</v>
      </c>
      <c r="AK1061" t="str">
        <f>VLOOKUP(S1061,Assets!$B$11:$C$26,2,TRUE)</f>
        <v>Up to $3.000</v>
      </c>
    </row>
    <row r="1062" spans="1:37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VLOOKUP(A1062,Assets!$B$7:$C$11,2,TRUE)</f>
        <v>18 to 25 years old</v>
      </c>
      <c r="AK1062" t="str">
        <f>VLOOKUP(S1062,Assets!$B$11:$C$26,2,TRUE)</f>
        <v>$3.001 to $7.000</v>
      </c>
    </row>
    <row r="1063" spans="1:37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VLOOKUP(A1063,Assets!$B$7:$C$11,2,TRUE)</f>
        <v>18 to 25 years old</v>
      </c>
      <c r="AK1063" t="str">
        <f>VLOOKUP(S1063,Assets!$B$11:$C$26,2,TRUE)</f>
        <v>Up to $3.000</v>
      </c>
    </row>
    <row r="1064" spans="1:37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VLOOKUP(A1064,Assets!$B$7:$C$11,2,TRUE)</f>
        <v>36 to 45 years old</v>
      </c>
      <c r="AK1064" t="str">
        <f>VLOOKUP(S1064,Assets!$B$11:$C$26,2,TRUE)</f>
        <v>$7.001 to $12.000</v>
      </c>
    </row>
    <row r="1065" spans="1:37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VLOOKUP(A1065,Assets!$B$7:$C$11,2,TRUE)</f>
        <v>26 to 35 years old</v>
      </c>
      <c r="AK1065" t="str">
        <f>VLOOKUP(S1065,Assets!$B$11:$C$26,2,TRUE)</f>
        <v>$7.001 to $12.000</v>
      </c>
    </row>
    <row r="1066" spans="1:37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VLOOKUP(A1066,Assets!$B$7:$C$11,2,TRUE)</f>
        <v>26 to 35 years old</v>
      </c>
      <c r="AK1066" t="str">
        <f>VLOOKUP(S1066,Assets!$B$11:$C$26,2,TRUE)</f>
        <v>Up to $3.000</v>
      </c>
    </row>
    <row r="1067" spans="1:37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VLOOKUP(A1067,Assets!$B$7:$C$11,2,TRUE)</f>
        <v>46 to 55 years old</v>
      </c>
      <c r="AK1067" t="str">
        <f>VLOOKUP(S1067,Assets!$B$11:$C$26,2,TRUE)</f>
        <v>$3.001 to $7.000</v>
      </c>
    </row>
    <row r="1068" spans="1:37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VLOOKUP(A1068,Assets!$B$7:$C$11,2,TRUE)</f>
        <v>26 to 35 years old</v>
      </c>
      <c r="AK1068" t="str">
        <f>VLOOKUP(S1068,Assets!$B$11:$C$26,2,TRUE)</f>
        <v>$3.001 to $7.000</v>
      </c>
    </row>
    <row r="1069" spans="1:37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VLOOKUP(A1069,Assets!$B$7:$C$11,2,TRUE)</f>
        <v>46 to 55 years old</v>
      </c>
      <c r="AK1069" t="str">
        <f>VLOOKUP(S1069,Assets!$B$11:$C$26,2,TRUE)</f>
        <v>$3.001 to $7.000</v>
      </c>
    </row>
    <row r="1070" spans="1:37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VLOOKUP(A1070,Assets!$B$7:$C$11,2,TRUE)</f>
        <v>26 to 35 years old</v>
      </c>
      <c r="AK1070" t="str">
        <f>VLOOKUP(S1070,Assets!$B$11:$C$26,2,TRUE)</f>
        <v>Up to $3.000</v>
      </c>
    </row>
    <row r="1071" spans="1:37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VLOOKUP(A1071,Assets!$B$7:$C$11,2,TRUE)</f>
        <v>26 to 35 years old</v>
      </c>
      <c r="AK1071" t="str">
        <f>VLOOKUP(S1071,Assets!$B$11:$C$26,2,TRUE)</f>
        <v>Up to $3.000</v>
      </c>
    </row>
    <row r="1072" spans="1:37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VLOOKUP(A1072,Assets!$B$7:$C$11,2,TRUE)</f>
        <v>26 to 35 years old</v>
      </c>
      <c r="AK1072" t="str">
        <f>VLOOKUP(S1072,Assets!$B$11:$C$26,2,TRUE)</f>
        <v>$3.001 to $7.000</v>
      </c>
    </row>
    <row r="1073" spans="1:37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VLOOKUP(A1073,Assets!$B$7:$C$11,2,TRUE)</f>
        <v>46 to 55 years old</v>
      </c>
      <c r="AK1073" t="str">
        <f>VLOOKUP(S1073,Assets!$B$11:$C$26,2,TRUE)</f>
        <v>$3.001 to $7.000</v>
      </c>
    </row>
    <row r="1074" spans="1:37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VLOOKUP(A1074,Assets!$B$7:$C$11,2,TRUE)</f>
        <v>26 to 35 years old</v>
      </c>
      <c r="AK1074" t="str">
        <f>VLOOKUP(S1074,Assets!$B$11:$C$26,2,TRUE)</f>
        <v>$3.001 to $7.000</v>
      </c>
    </row>
    <row r="1075" spans="1:37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VLOOKUP(A1075,Assets!$B$7:$C$11,2,TRUE)</f>
        <v>26 to 35 years old</v>
      </c>
      <c r="AK1075" t="str">
        <f>VLOOKUP(S1075,Assets!$B$11:$C$26,2,TRUE)</f>
        <v>$3.001 to $7.000</v>
      </c>
    </row>
    <row r="1076" spans="1:37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VLOOKUP(A1076,Assets!$B$7:$C$11,2,TRUE)</f>
        <v>26 to 35 years old</v>
      </c>
      <c r="AK1076" t="str">
        <f>VLOOKUP(S1076,Assets!$B$11:$C$26,2,TRUE)</f>
        <v>$3.001 to $7.000</v>
      </c>
    </row>
    <row r="1077" spans="1:37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VLOOKUP(A1077,Assets!$B$7:$C$11,2,TRUE)</f>
        <v>26 to 35 years old</v>
      </c>
      <c r="AK1077" t="str">
        <f>VLOOKUP(S1077,Assets!$B$11:$C$26,2,TRUE)</f>
        <v>$7.001 to $12.000</v>
      </c>
    </row>
    <row r="1078" spans="1:37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VLOOKUP(A1078,Assets!$B$7:$C$11,2,TRUE)</f>
        <v>46 to 55 years old</v>
      </c>
      <c r="AK1078" t="str">
        <f>VLOOKUP(S1078,Assets!$B$11:$C$26,2,TRUE)</f>
        <v>Over $12.000</v>
      </c>
    </row>
    <row r="1079" spans="1:37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VLOOKUP(A1079,Assets!$B$7:$C$11,2,TRUE)</f>
        <v>26 to 35 years old</v>
      </c>
      <c r="AK1079" t="str">
        <f>VLOOKUP(S1079,Assets!$B$11:$C$26,2,TRUE)</f>
        <v>Up to $3.000</v>
      </c>
    </row>
    <row r="1080" spans="1:37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VLOOKUP(A1080,Assets!$B$7:$C$11,2,TRUE)</f>
        <v>36 to 45 years old</v>
      </c>
      <c r="AK1080" t="str">
        <f>VLOOKUP(S1080,Assets!$B$11:$C$26,2,TRUE)</f>
        <v>Over $12.000</v>
      </c>
    </row>
    <row r="1081" spans="1:37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VLOOKUP(A1081,Assets!$B$7:$C$11,2,TRUE)</f>
        <v>36 to 45 years old</v>
      </c>
      <c r="AK1081" t="str">
        <f>VLOOKUP(S1081,Assets!$B$11:$C$26,2,TRUE)</f>
        <v>$7.001 to $12.000</v>
      </c>
    </row>
    <row r="1082" spans="1:37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VLOOKUP(A1082,Assets!$B$7:$C$11,2,TRUE)</f>
        <v>46 to 55 years old</v>
      </c>
      <c r="AK1082" t="str">
        <f>VLOOKUP(S1082,Assets!$B$11:$C$26,2,TRUE)</f>
        <v>Over $12.000</v>
      </c>
    </row>
    <row r="1083" spans="1:37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VLOOKUP(A1083,Assets!$B$7:$C$11,2,TRUE)</f>
        <v>26 to 35 years old</v>
      </c>
      <c r="AK1083" t="str">
        <f>VLOOKUP(S1083,Assets!$B$11:$C$26,2,TRUE)</f>
        <v>$7.001 to $12.000</v>
      </c>
    </row>
    <row r="1084" spans="1:37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VLOOKUP(A1084,Assets!$B$7:$C$11,2,TRUE)</f>
        <v>18 to 25 years old</v>
      </c>
      <c r="AK1084" t="str">
        <f>VLOOKUP(S1084,Assets!$B$11:$C$26,2,TRUE)</f>
        <v>Up to $3.000</v>
      </c>
    </row>
    <row r="1085" spans="1:37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VLOOKUP(A1085,Assets!$B$7:$C$11,2,TRUE)</f>
        <v>36 to 45 years old</v>
      </c>
      <c r="AK1085" t="str">
        <f>VLOOKUP(S1085,Assets!$B$11:$C$26,2,TRUE)</f>
        <v>Up to $3.000</v>
      </c>
    </row>
    <row r="1086" spans="1:37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VLOOKUP(A1086,Assets!$B$7:$C$11,2,TRUE)</f>
        <v>26 to 35 years old</v>
      </c>
      <c r="AK1086" t="str">
        <f>VLOOKUP(S1086,Assets!$B$11:$C$26,2,TRUE)</f>
        <v>$7.001 to $12.000</v>
      </c>
    </row>
    <row r="1087" spans="1:37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VLOOKUP(A1087,Assets!$B$7:$C$11,2,TRUE)</f>
        <v>26 to 35 years old</v>
      </c>
      <c r="AK1087" t="str">
        <f>VLOOKUP(S1087,Assets!$B$11:$C$26,2,TRUE)</f>
        <v>$3.001 to $7.000</v>
      </c>
    </row>
    <row r="1088" spans="1:37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VLOOKUP(A1088,Assets!$B$7:$C$11,2,TRUE)</f>
        <v>46 to 55 years old</v>
      </c>
      <c r="AK1088" t="str">
        <f>VLOOKUP(S1088,Assets!$B$11:$C$26,2,TRUE)</f>
        <v>Over $12.000</v>
      </c>
    </row>
    <row r="1089" spans="1:37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VLOOKUP(A1089,Assets!$B$7:$C$11,2,TRUE)</f>
        <v>26 to 35 years old</v>
      </c>
      <c r="AK1089" t="str">
        <f>VLOOKUP(S1089,Assets!$B$11:$C$26,2,TRUE)</f>
        <v>Up to $3.000</v>
      </c>
    </row>
    <row r="1090" spans="1:37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VLOOKUP(A1090,Assets!$B$7:$C$11,2,TRUE)</f>
        <v>36 to 45 years old</v>
      </c>
      <c r="AK1090" t="str">
        <f>VLOOKUP(S1090,Assets!$B$11:$C$26,2,TRUE)</f>
        <v>$3.001 to $7.000</v>
      </c>
    </row>
    <row r="1091" spans="1:37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VLOOKUP(A1091,Assets!$B$7:$C$11,2,TRUE)</f>
        <v>36 to 45 years old</v>
      </c>
      <c r="AK1091" t="str">
        <f>VLOOKUP(S1091,Assets!$B$11:$C$26,2,TRUE)</f>
        <v>$3.001 to $7.000</v>
      </c>
    </row>
    <row r="1092" spans="1:37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VLOOKUP(A1092,Assets!$B$7:$C$11,2,TRUE)</f>
        <v>26 to 35 years old</v>
      </c>
      <c r="AK1092" t="str">
        <f>VLOOKUP(S1092,Assets!$B$11:$C$26,2,TRUE)</f>
        <v>$7.001 to $12.000</v>
      </c>
    </row>
    <row r="1093" spans="1:37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VLOOKUP(A1093,Assets!$B$7:$C$11,2,TRUE)</f>
        <v>26 to 35 years old</v>
      </c>
      <c r="AK1093" t="str">
        <f>VLOOKUP(S1093,Assets!$B$11:$C$26,2,TRUE)</f>
        <v>$3.001 to $7.000</v>
      </c>
    </row>
    <row r="1094" spans="1:37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VLOOKUP(A1094,Assets!$B$7:$C$11,2,TRUE)</f>
        <v>36 to 45 years old</v>
      </c>
      <c r="AK1094" t="str">
        <f>VLOOKUP(S1094,Assets!$B$11:$C$26,2,TRUE)</f>
        <v>Up to $3.000</v>
      </c>
    </row>
    <row r="1095" spans="1:37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VLOOKUP(A1095,Assets!$B$7:$C$11,2,TRUE)</f>
        <v>36 to 45 years old</v>
      </c>
      <c r="AK1095" t="str">
        <f>VLOOKUP(S1095,Assets!$B$11:$C$26,2,TRUE)</f>
        <v>$7.001 to $12.000</v>
      </c>
    </row>
    <row r="1096" spans="1:37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VLOOKUP(A1096,Assets!$B$7:$C$11,2,TRUE)</f>
        <v>36 to 45 years old</v>
      </c>
      <c r="AK1096" t="str">
        <f>VLOOKUP(S1096,Assets!$B$11:$C$26,2,TRUE)</f>
        <v>$3.001 to $7.000</v>
      </c>
    </row>
    <row r="1097" spans="1:37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VLOOKUP(A1097,Assets!$B$7:$C$11,2,TRUE)</f>
        <v>26 to 35 years old</v>
      </c>
      <c r="AK1097" t="str">
        <f>VLOOKUP(S1097,Assets!$B$11:$C$26,2,TRUE)</f>
        <v>$3.001 to $7.000</v>
      </c>
    </row>
    <row r="1098" spans="1:37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VLOOKUP(A1098,Assets!$B$7:$C$11,2,TRUE)</f>
        <v>36 to 45 years old</v>
      </c>
      <c r="AK1098" t="str">
        <f>VLOOKUP(S1098,Assets!$B$11:$C$26,2,TRUE)</f>
        <v>Over $12.000</v>
      </c>
    </row>
    <row r="1099" spans="1:37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VLOOKUP(A1099,Assets!$B$7:$C$11,2,TRUE)</f>
        <v>18 to 25 years old</v>
      </c>
      <c r="AK1099" t="str">
        <f>VLOOKUP(S1099,Assets!$B$11:$C$26,2,TRUE)</f>
        <v>Up to $3.000</v>
      </c>
    </row>
    <row r="1100" spans="1:37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VLOOKUP(A1100,Assets!$B$7:$C$11,2,TRUE)</f>
        <v>36 to 45 years old</v>
      </c>
      <c r="AK1100" t="str">
        <f>VLOOKUP(S1100,Assets!$B$11:$C$26,2,TRUE)</f>
        <v>$3.001 to $7.000</v>
      </c>
    </row>
    <row r="1101" spans="1:37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VLOOKUP(A1101,Assets!$B$7:$C$11,2,TRUE)</f>
        <v>36 to 45 years old</v>
      </c>
      <c r="AK1101" t="str">
        <f>VLOOKUP(S1101,Assets!$B$11:$C$26,2,TRUE)</f>
        <v>$7.001 to $12.000</v>
      </c>
    </row>
    <row r="1102" spans="1:37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VLOOKUP(A1102,Assets!$B$7:$C$11,2,TRUE)</f>
        <v>26 to 35 years old</v>
      </c>
      <c r="AK1102" t="str">
        <f>VLOOKUP(S1102,Assets!$B$11:$C$26,2,TRUE)</f>
        <v>Up to $3.000</v>
      </c>
    </row>
    <row r="1103" spans="1:37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VLOOKUP(A1103,Assets!$B$7:$C$11,2,TRUE)</f>
        <v>26 to 35 years old</v>
      </c>
      <c r="AK1103" t="str">
        <f>VLOOKUP(S1103,Assets!$B$11:$C$26,2,TRUE)</f>
        <v>$3.001 to $7.000</v>
      </c>
    </row>
    <row r="1104" spans="1:37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VLOOKUP(A1104,Assets!$B$7:$C$11,2,TRUE)</f>
        <v>36 to 45 years old</v>
      </c>
      <c r="AK1104" t="str">
        <f>VLOOKUP(S1104,Assets!$B$11:$C$26,2,TRUE)</f>
        <v>Up to $3.000</v>
      </c>
    </row>
    <row r="1105" spans="1:37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VLOOKUP(A1105,Assets!$B$7:$C$11,2,TRUE)</f>
        <v>46 to 55 years old</v>
      </c>
      <c r="AK1105" t="str">
        <f>VLOOKUP(S1105,Assets!$B$11:$C$26,2,TRUE)</f>
        <v>$3.001 to $7.000</v>
      </c>
    </row>
    <row r="1106" spans="1:37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VLOOKUP(A1106,Assets!$B$7:$C$11,2,TRUE)</f>
        <v>26 to 35 years old</v>
      </c>
      <c r="AK1106" t="str">
        <f>VLOOKUP(S1106,Assets!$B$11:$C$26,2,TRUE)</f>
        <v>Up to $3.000</v>
      </c>
    </row>
    <row r="1107" spans="1:37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VLOOKUP(A1107,Assets!$B$7:$C$11,2,TRUE)</f>
        <v>26 to 35 years old</v>
      </c>
      <c r="AK1107" t="str">
        <f>VLOOKUP(S1107,Assets!$B$11:$C$26,2,TRUE)</f>
        <v>$3.001 to $7.000</v>
      </c>
    </row>
    <row r="1108" spans="1:37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VLOOKUP(A1108,Assets!$B$7:$C$11,2,TRUE)</f>
        <v>26 to 35 years old</v>
      </c>
      <c r="AK1108" t="str">
        <f>VLOOKUP(S1108,Assets!$B$11:$C$26,2,TRUE)</f>
        <v>$7.001 to $12.000</v>
      </c>
    </row>
    <row r="1109" spans="1:37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VLOOKUP(A1109,Assets!$B$7:$C$11,2,TRUE)</f>
        <v>36 to 45 years old</v>
      </c>
      <c r="AK1109" t="str">
        <f>VLOOKUP(S1109,Assets!$B$11:$C$26,2,TRUE)</f>
        <v>$3.001 to $7.000</v>
      </c>
    </row>
    <row r="1110" spans="1:37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VLOOKUP(A1110,Assets!$B$7:$C$11,2,TRUE)</f>
        <v>26 to 35 years old</v>
      </c>
      <c r="AK1110" t="str">
        <f>VLOOKUP(S1110,Assets!$B$11:$C$26,2,TRUE)</f>
        <v>Up to $3.000</v>
      </c>
    </row>
    <row r="1111" spans="1:37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VLOOKUP(A1111,Assets!$B$7:$C$11,2,TRUE)</f>
        <v>26 to 35 years old</v>
      </c>
      <c r="AK1111" t="str">
        <f>VLOOKUP(S1111,Assets!$B$11:$C$26,2,TRUE)</f>
        <v>$7.001 to $12.000</v>
      </c>
    </row>
    <row r="1112" spans="1:37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VLOOKUP(A1112,Assets!$B$7:$C$11,2,TRUE)</f>
        <v>26 to 35 years old</v>
      </c>
      <c r="AK1112" t="str">
        <f>VLOOKUP(S1112,Assets!$B$11:$C$26,2,TRUE)</f>
        <v>Up to $3.000</v>
      </c>
    </row>
    <row r="1113" spans="1:37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VLOOKUP(A1113,Assets!$B$7:$C$11,2,TRUE)</f>
        <v>46 to 55 years old</v>
      </c>
      <c r="AK1113" t="str">
        <f>VLOOKUP(S1113,Assets!$B$11:$C$26,2,TRUE)</f>
        <v>$7.001 to $12.000</v>
      </c>
    </row>
    <row r="1114" spans="1:37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VLOOKUP(A1114,Assets!$B$7:$C$11,2,TRUE)</f>
        <v>36 to 45 years old</v>
      </c>
      <c r="AK1114" t="str">
        <f>VLOOKUP(S1114,Assets!$B$11:$C$26,2,TRUE)</f>
        <v>$3.001 to $7.000</v>
      </c>
    </row>
    <row r="1115" spans="1:37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VLOOKUP(A1115,Assets!$B$7:$C$11,2,TRUE)</f>
        <v>26 to 35 years old</v>
      </c>
      <c r="AK1115" t="str">
        <f>VLOOKUP(S1115,Assets!$B$11:$C$26,2,TRUE)</f>
        <v>$3.001 to $7.000</v>
      </c>
    </row>
    <row r="1116" spans="1:37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VLOOKUP(A1116,Assets!$B$7:$C$11,2,TRUE)</f>
        <v>46 to 55 years old</v>
      </c>
      <c r="AK1116" t="str">
        <f>VLOOKUP(S1116,Assets!$B$11:$C$26,2,TRUE)</f>
        <v>Up to $3.000</v>
      </c>
    </row>
    <row r="1117" spans="1:37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VLOOKUP(A1117,Assets!$B$7:$C$11,2,TRUE)</f>
        <v>26 to 35 years old</v>
      </c>
      <c r="AK1117" t="str">
        <f>VLOOKUP(S1117,Assets!$B$11:$C$26,2,TRUE)</f>
        <v>Up to $3.000</v>
      </c>
    </row>
    <row r="1118" spans="1:37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VLOOKUP(A1118,Assets!$B$7:$C$11,2,TRUE)</f>
        <v>46 to 55 years old</v>
      </c>
      <c r="AK1118" t="str">
        <f>VLOOKUP(S1118,Assets!$B$11:$C$26,2,TRUE)</f>
        <v>Over $12.000</v>
      </c>
    </row>
    <row r="1119" spans="1:37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VLOOKUP(A1119,Assets!$B$7:$C$11,2,TRUE)</f>
        <v>26 to 35 years old</v>
      </c>
      <c r="AK1119" t="str">
        <f>VLOOKUP(S1119,Assets!$B$11:$C$26,2,TRUE)</f>
        <v>$3.001 to $7.000</v>
      </c>
    </row>
    <row r="1120" spans="1:37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VLOOKUP(A1120,Assets!$B$7:$C$11,2,TRUE)</f>
        <v>26 to 35 years old</v>
      </c>
      <c r="AK1120" t="str">
        <f>VLOOKUP(S1120,Assets!$B$11:$C$26,2,TRUE)</f>
        <v>Up to $3.000</v>
      </c>
    </row>
    <row r="1121" spans="1:37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VLOOKUP(A1121,Assets!$B$7:$C$11,2,TRUE)</f>
        <v>36 to 45 years old</v>
      </c>
      <c r="AK1121" t="str">
        <f>VLOOKUP(S1121,Assets!$B$11:$C$26,2,TRUE)</f>
        <v>$7.001 to $12.000</v>
      </c>
    </row>
    <row r="1122" spans="1:37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VLOOKUP(A1122,Assets!$B$7:$C$11,2,TRUE)</f>
        <v>36 to 45 years old</v>
      </c>
      <c r="AK1122" t="str">
        <f>VLOOKUP(S1122,Assets!$B$11:$C$26,2,TRUE)</f>
        <v>$3.001 to $7.000</v>
      </c>
    </row>
    <row r="1123" spans="1:37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VLOOKUP(A1123,Assets!$B$7:$C$11,2,TRUE)</f>
        <v>36 to 45 years old</v>
      </c>
      <c r="AK1123" t="str">
        <f>VLOOKUP(S1123,Assets!$B$11:$C$26,2,TRUE)</f>
        <v>$3.001 to $7.000</v>
      </c>
    </row>
    <row r="1124" spans="1:37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VLOOKUP(A1124,Assets!$B$7:$C$11,2,TRUE)</f>
        <v>26 to 35 years old</v>
      </c>
      <c r="AK1124" t="str">
        <f>VLOOKUP(S1124,Assets!$B$11:$C$26,2,TRUE)</f>
        <v>$3.001 to $7.000</v>
      </c>
    </row>
    <row r="1125" spans="1:37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VLOOKUP(A1125,Assets!$B$7:$C$11,2,TRUE)</f>
        <v>26 to 35 years old</v>
      </c>
      <c r="AK1125" t="str">
        <f>VLOOKUP(S1125,Assets!$B$11:$C$26,2,TRUE)</f>
        <v>$3.001 to $7.000</v>
      </c>
    </row>
    <row r="1126" spans="1:37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VLOOKUP(A1126,Assets!$B$7:$C$11,2,TRUE)</f>
        <v>36 to 45 years old</v>
      </c>
      <c r="AK1126" t="str">
        <f>VLOOKUP(S1126,Assets!$B$11:$C$26,2,TRUE)</f>
        <v>$7.001 to $12.000</v>
      </c>
    </row>
    <row r="1127" spans="1:37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VLOOKUP(A1127,Assets!$B$7:$C$11,2,TRUE)</f>
        <v>26 to 35 years old</v>
      </c>
      <c r="AK1127" t="str">
        <f>VLOOKUP(S1127,Assets!$B$11:$C$26,2,TRUE)</f>
        <v>$7.001 to $12.000</v>
      </c>
    </row>
    <row r="1128" spans="1:37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VLOOKUP(A1128,Assets!$B$7:$C$11,2,TRUE)</f>
        <v>46 to 55 years old</v>
      </c>
      <c r="AK1128" t="str">
        <f>VLOOKUP(S1128,Assets!$B$11:$C$26,2,TRUE)</f>
        <v>Over $12.000</v>
      </c>
    </row>
    <row r="1129" spans="1:37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VLOOKUP(A1129,Assets!$B$7:$C$11,2,TRUE)</f>
        <v>18 to 25 years old</v>
      </c>
      <c r="AK1129" t="str">
        <f>VLOOKUP(S1129,Assets!$B$11:$C$26,2,TRUE)</f>
        <v>Up to $3.000</v>
      </c>
    </row>
    <row r="1130" spans="1:37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VLOOKUP(A1130,Assets!$B$7:$C$11,2,TRUE)</f>
        <v>36 to 45 years old</v>
      </c>
      <c r="AK1130" t="str">
        <f>VLOOKUP(S1130,Assets!$B$11:$C$26,2,TRUE)</f>
        <v>$3.001 to $7.000</v>
      </c>
    </row>
    <row r="1131" spans="1:37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VLOOKUP(A1131,Assets!$B$7:$C$11,2,TRUE)</f>
        <v>36 to 45 years old</v>
      </c>
      <c r="AK1131" t="str">
        <f>VLOOKUP(S1131,Assets!$B$11:$C$26,2,TRUE)</f>
        <v>Over $12.000</v>
      </c>
    </row>
    <row r="1132" spans="1:37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VLOOKUP(A1132,Assets!$B$7:$C$11,2,TRUE)</f>
        <v>26 to 35 years old</v>
      </c>
      <c r="AK1132" t="str">
        <f>VLOOKUP(S1132,Assets!$B$11:$C$26,2,TRUE)</f>
        <v>$3.001 to $7.000</v>
      </c>
    </row>
    <row r="1133" spans="1:37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VLOOKUP(A1133,Assets!$B$7:$C$11,2,TRUE)</f>
        <v>26 to 35 years old</v>
      </c>
      <c r="AK1133" t="str">
        <f>VLOOKUP(S1133,Assets!$B$11:$C$26,2,TRUE)</f>
        <v>$3.001 to $7.000</v>
      </c>
    </row>
    <row r="1134" spans="1:37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VLOOKUP(A1134,Assets!$B$7:$C$11,2,TRUE)</f>
        <v>36 to 45 years old</v>
      </c>
      <c r="AK1134" t="str">
        <f>VLOOKUP(S1134,Assets!$B$11:$C$26,2,TRUE)</f>
        <v>$3.001 to $7.000</v>
      </c>
    </row>
    <row r="1135" spans="1:37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VLOOKUP(A1135,Assets!$B$7:$C$11,2,TRUE)</f>
        <v>36 to 45 years old</v>
      </c>
      <c r="AK1135" t="str">
        <f>VLOOKUP(S1135,Assets!$B$11:$C$26,2,TRUE)</f>
        <v>$3.001 to $7.000</v>
      </c>
    </row>
    <row r="1136" spans="1:37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VLOOKUP(A1136,Assets!$B$7:$C$11,2,TRUE)</f>
        <v>26 to 35 years old</v>
      </c>
      <c r="AK1136" t="str">
        <f>VLOOKUP(S1136,Assets!$B$11:$C$26,2,TRUE)</f>
        <v>Up to $3.000</v>
      </c>
    </row>
    <row r="1137" spans="1:37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VLOOKUP(A1137,Assets!$B$7:$C$11,2,TRUE)</f>
        <v>46 to 55 years old</v>
      </c>
      <c r="AK1137" t="str">
        <f>VLOOKUP(S1137,Assets!$B$11:$C$26,2,TRUE)</f>
        <v>Over $12.000</v>
      </c>
    </row>
    <row r="1138" spans="1:37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VLOOKUP(A1138,Assets!$B$7:$C$11,2,TRUE)</f>
        <v>26 to 35 years old</v>
      </c>
      <c r="AK1138" t="str">
        <f>VLOOKUP(S1138,Assets!$B$11:$C$26,2,TRUE)</f>
        <v>Up to $3.000</v>
      </c>
    </row>
    <row r="1139" spans="1:37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VLOOKUP(A1139,Assets!$B$7:$C$11,2,TRUE)</f>
        <v>18 to 25 years old</v>
      </c>
      <c r="AK1139" t="str">
        <f>VLOOKUP(S1139,Assets!$B$11:$C$26,2,TRUE)</f>
        <v>Up to $3.000</v>
      </c>
    </row>
    <row r="1140" spans="1:37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VLOOKUP(A1140,Assets!$B$7:$C$11,2,TRUE)</f>
        <v>46 to 55 years old</v>
      </c>
      <c r="AK1140" t="str">
        <f>VLOOKUP(S1140,Assets!$B$11:$C$26,2,TRUE)</f>
        <v>$7.001 to $12.000</v>
      </c>
    </row>
    <row r="1141" spans="1:37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VLOOKUP(A1141,Assets!$B$7:$C$11,2,TRUE)</f>
        <v>26 to 35 years old</v>
      </c>
      <c r="AK1141" t="str">
        <f>VLOOKUP(S1141,Assets!$B$11:$C$26,2,TRUE)</f>
        <v>$3.001 to $7.000</v>
      </c>
    </row>
    <row r="1142" spans="1:37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VLOOKUP(A1142,Assets!$B$7:$C$11,2,TRUE)</f>
        <v>36 to 45 years old</v>
      </c>
      <c r="AK1142" t="str">
        <f>VLOOKUP(S1142,Assets!$B$11:$C$26,2,TRUE)</f>
        <v>Over $12.000</v>
      </c>
    </row>
    <row r="1143" spans="1:37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VLOOKUP(A1143,Assets!$B$7:$C$11,2,TRUE)</f>
        <v>26 to 35 years old</v>
      </c>
      <c r="AK1143" t="str">
        <f>VLOOKUP(S1143,Assets!$B$11:$C$26,2,TRUE)</f>
        <v>Up to $3.000</v>
      </c>
    </row>
    <row r="1144" spans="1:37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VLOOKUP(A1144,Assets!$B$7:$C$11,2,TRUE)</f>
        <v>36 to 45 years old</v>
      </c>
      <c r="AK1144" t="str">
        <f>VLOOKUP(S1144,Assets!$B$11:$C$26,2,TRUE)</f>
        <v>$3.001 to $7.000</v>
      </c>
    </row>
    <row r="1145" spans="1:37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VLOOKUP(A1145,Assets!$B$7:$C$11,2,TRUE)</f>
        <v>36 to 45 years old</v>
      </c>
      <c r="AK1145" t="str">
        <f>VLOOKUP(S1145,Assets!$B$11:$C$26,2,TRUE)</f>
        <v>$3.001 to $7.000</v>
      </c>
    </row>
    <row r="1146" spans="1:37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VLOOKUP(A1146,Assets!$B$7:$C$11,2,TRUE)</f>
        <v>26 to 35 years old</v>
      </c>
      <c r="AK1146" t="str">
        <f>VLOOKUP(S1146,Assets!$B$11:$C$26,2,TRUE)</f>
        <v>$3.001 to $7.000</v>
      </c>
    </row>
    <row r="1147" spans="1:37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VLOOKUP(A1147,Assets!$B$7:$C$11,2,TRUE)</f>
        <v>36 to 45 years old</v>
      </c>
      <c r="AK1147" t="str">
        <f>VLOOKUP(S1147,Assets!$B$11:$C$26,2,TRUE)</f>
        <v>$3.001 to $7.000</v>
      </c>
    </row>
    <row r="1148" spans="1:37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VLOOKUP(A1148,Assets!$B$7:$C$11,2,TRUE)</f>
        <v>26 to 35 years old</v>
      </c>
      <c r="AK1148" t="str">
        <f>VLOOKUP(S1148,Assets!$B$11:$C$26,2,TRUE)</f>
        <v>$3.001 to $7.000</v>
      </c>
    </row>
    <row r="1149" spans="1:37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VLOOKUP(A1149,Assets!$B$7:$C$11,2,TRUE)</f>
        <v>46 to 55 years old</v>
      </c>
      <c r="AK1149" t="str">
        <f>VLOOKUP(S1149,Assets!$B$11:$C$26,2,TRUE)</f>
        <v>$3.001 to $7.000</v>
      </c>
    </row>
    <row r="1150" spans="1:37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VLOOKUP(A1150,Assets!$B$7:$C$11,2,TRUE)</f>
        <v>36 to 45 years old</v>
      </c>
      <c r="AK1150" t="str">
        <f>VLOOKUP(S1150,Assets!$B$11:$C$26,2,TRUE)</f>
        <v>$3.001 to $7.000</v>
      </c>
    </row>
    <row r="1151" spans="1:37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VLOOKUP(A1151,Assets!$B$7:$C$11,2,TRUE)</f>
        <v>26 to 35 years old</v>
      </c>
      <c r="AK1151" t="str">
        <f>VLOOKUP(S1151,Assets!$B$11:$C$26,2,TRUE)</f>
        <v>$3.001 to $7.000</v>
      </c>
    </row>
    <row r="1152" spans="1:37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VLOOKUP(A1152,Assets!$B$7:$C$11,2,TRUE)</f>
        <v>26 to 35 years old</v>
      </c>
      <c r="AK1152" t="str">
        <f>VLOOKUP(S1152,Assets!$B$11:$C$26,2,TRUE)</f>
        <v>$3.001 to $7.000</v>
      </c>
    </row>
    <row r="1153" spans="1:37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VLOOKUP(A1153,Assets!$B$7:$C$11,2,TRUE)</f>
        <v>26 to 35 years old</v>
      </c>
      <c r="AK1153" t="str">
        <f>VLOOKUP(S1153,Assets!$B$11:$C$26,2,TRUE)</f>
        <v>$3.001 to $7.000</v>
      </c>
    </row>
    <row r="1154" spans="1:37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VLOOKUP(A1154,Assets!$B$7:$C$11,2,TRUE)</f>
        <v>18 to 25 years old</v>
      </c>
      <c r="AK1154" t="str">
        <f>VLOOKUP(S1154,Assets!$B$11:$C$26,2,TRUE)</f>
        <v>$3.001 to $7.000</v>
      </c>
    </row>
    <row r="1155" spans="1:37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VLOOKUP(A1155,Assets!$B$7:$C$11,2,TRUE)</f>
        <v>18 to 25 years old</v>
      </c>
      <c r="AK1155" t="str">
        <f>VLOOKUP(S1155,Assets!$B$11:$C$26,2,TRUE)</f>
        <v>Up to $3.000</v>
      </c>
    </row>
    <row r="1156" spans="1:37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VLOOKUP(A1156,Assets!$B$7:$C$11,2,TRUE)</f>
        <v>46 to 55 years old</v>
      </c>
      <c r="AK1156" t="str">
        <f>VLOOKUP(S1156,Assets!$B$11:$C$26,2,TRUE)</f>
        <v>Over $12.000</v>
      </c>
    </row>
    <row r="1157" spans="1:37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VLOOKUP(A1157,Assets!$B$7:$C$11,2,TRUE)</f>
        <v>36 to 45 years old</v>
      </c>
      <c r="AK1157" t="str">
        <f>VLOOKUP(S1157,Assets!$B$11:$C$26,2,TRUE)</f>
        <v>$3.001 to $7.000</v>
      </c>
    </row>
    <row r="1158" spans="1:37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VLOOKUP(A1158,Assets!$B$7:$C$11,2,TRUE)</f>
        <v>36 to 45 years old</v>
      </c>
      <c r="AK1158" t="str">
        <f>VLOOKUP(S1158,Assets!$B$11:$C$26,2,TRUE)</f>
        <v>$7.001 to $12.000</v>
      </c>
    </row>
    <row r="1159" spans="1:37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VLOOKUP(A1159,Assets!$B$7:$C$11,2,TRUE)</f>
        <v>26 to 35 years old</v>
      </c>
      <c r="AK1159" t="str">
        <f>VLOOKUP(S1159,Assets!$B$11:$C$26,2,TRUE)</f>
        <v>$3.001 to $7.000</v>
      </c>
    </row>
    <row r="1160" spans="1:37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VLOOKUP(A1160,Assets!$B$7:$C$11,2,TRUE)</f>
        <v>36 to 45 years old</v>
      </c>
      <c r="AK1160" t="str">
        <f>VLOOKUP(S1160,Assets!$B$11:$C$26,2,TRUE)</f>
        <v>$3.001 to $7.000</v>
      </c>
    </row>
    <row r="1161" spans="1:37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VLOOKUP(A1161,Assets!$B$7:$C$11,2,TRUE)</f>
        <v>36 to 45 years old</v>
      </c>
      <c r="AK1161" t="str">
        <f>VLOOKUP(S1161,Assets!$B$11:$C$26,2,TRUE)</f>
        <v>$3.001 to $7.000</v>
      </c>
    </row>
    <row r="1162" spans="1:37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VLOOKUP(A1162,Assets!$B$7:$C$11,2,TRUE)</f>
        <v>36 to 45 years old</v>
      </c>
      <c r="AK1162" t="str">
        <f>VLOOKUP(S1162,Assets!$B$11:$C$26,2,TRUE)</f>
        <v>$3.001 to $7.000</v>
      </c>
    </row>
    <row r="1163" spans="1:37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VLOOKUP(A1163,Assets!$B$7:$C$11,2,TRUE)</f>
        <v>36 to 45 years old</v>
      </c>
      <c r="AK1163" t="str">
        <f>VLOOKUP(S1163,Assets!$B$11:$C$26,2,TRUE)</f>
        <v>$7.001 to $12.000</v>
      </c>
    </row>
    <row r="1164" spans="1:37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VLOOKUP(A1164,Assets!$B$7:$C$11,2,TRUE)</f>
        <v>26 to 35 years old</v>
      </c>
      <c r="AK1164" t="str">
        <f>VLOOKUP(S1164,Assets!$B$11:$C$26,2,TRUE)</f>
        <v>$7.001 to $12.000</v>
      </c>
    </row>
    <row r="1165" spans="1:37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VLOOKUP(A1165,Assets!$B$7:$C$11,2,TRUE)</f>
        <v>36 to 45 years old</v>
      </c>
      <c r="AK1165" t="str">
        <f>VLOOKUP(S1165,Assets!$B$11:$C$26,2,TRUE)</f>
        <v>$3.001 to $7.000</v>
      </c>
    </row>
    <row r="1166" spans="1:37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VLOOKUP(A1166,Assets!$B$7:$C$11,2,TRUE)</f>
        <v>36 to 45 years old</v>
      </c>
      <c r="AK1166" t="str">
        <f>VLOOKUP(S1166,Assets!$B$11:$C$26,2,TRUE)</f>
        <v>$7.001 to $12.000</v>
      </c>
    </row>
    <row r="1167" spans="1:37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VLOOKUP(A1167,Assets!$B$7:$C$11,2,TRUE)</f>
        <v>36 to 45 years old</v>
      </c>
      <c r="AK1167" t="str">
        <f>VLOOKUP(S1167,Assets!$B$11:$C$26,2,TRUE)</f>
        <v>$3.001 to $7.000</v>
      </c>
    </row>
    <row r="1168" spans="1:37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VLOOKUP(A1168,Assets!$B$7:$C$11,2,TRUE)</f>
        <v>46 to 55 years old</v>
      </c>
      <c r="AK1168" t="str">
        <f>VLOOKUP(S1168,Assets!$B$11:$C$26,2,TRUE)</f>
        <v>Over $12.000</v>
      </c>
    </row>
    <row r="1169" spans="1:37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VLOOKUP(A1169,Assets!$B$7:$C$11,2,TRUE)</f>
        <v>26 to 35 years old</v>
      </c>
      <c r="AK1169" t="str">
        <f>VLOOKUP(S1169,Assets!$B$11:$C$26,2,TRUE)</f>
        <v>$3.001 to $7.000</v>
      </c>
    </row>
    <row r="1170" spans="1:37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VLOOKUP(A1170,Assets!$B$7:$C$11,2,TRUE)</f>
        <v>18 to 25 years old</v>
      </c>
      <c r="AK1170" t="str">
        <f>VLOOKUP(S1170,Assets!$B$11:$C$26,2,TRUE)</f>
        <v>$3.001 to $7.000</v>
      </c>
    </row>
    <row r="1171" spans="1:37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VLOOKUP(A1171,Assets!$B$7:$C$11,2,TRUE)</f>
        <v>26 to 35 years old</v>
      </c>
      <c r="AK1171" t="str">
        <f>VLOOKUP(S1171,Assets!$B$11:$C$26,2,TRUE)</f>
        <v>$3.001 to $7.000</v>
      </c>
    </row>
    <row r="1172" spans="1:37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VLOOKUP(A1172,Assets!$B$7:$C$11,2,TRUE)</f>
        <v>26 to 35 years old</v>
      </c>
      <c r="AK1172" t="str">
        <f>VLOOKUP(S1172,Assets!$B$11:$C$26,2,TRUE)</f>
        <v>Up to $3.000</v>
      </c>
    </row>
    <row r="1173" spans="1:37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VLOOKUP(A1173,Assets!$B$7:$C$11,2,TRUE)</f>
        <v>36 to 45 years old</v>
      </c>
      <c r="AK1173" t="str">
        <f>VLOOKUP(S1173,Assets!$B$11:$C$26,2,TRUE)</f>
        <v>Up to $3.000</v>
      </c>
    </row>
    <row r="1174" spans="1:37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VLOOKUP(A1174,Assets!$B$7:$C$11,2,TRUE)</f>
        <v>26 to 35 years old</v>
      </c>
      <c r="AK1174" t="str">
        <f>VLOOKUP(S1174,Assets!$B$11:$C$26,2,TRUE)</f>
        <v>$3.001 to $7.000</v>
      </c>
    </row>
    <row r="1175" spans="1:37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VLOOKUP(A1175,Assets!$B$7:$C$11,2,TRUE)</f>
        <v>36 to 45 years old</v>
      </c>
      <c r="AK1175" t="str">
        <f>VLOOKUP(S1175,Assets!$B$11:$C$26,2,TRUE)</f>
        <v>$7.001 to $12.000</v>
      </c>
    </row>
    <row r="1176" spans="1:37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VLOOKUP(A1176,Assets!$B$7:$C$11,2,TRUE)</f>
        <v>18 to 25 years old</v>
      </c>
      <c r="AK1176" t="str">
        <f>VLOOKUP(S1176,Assets!$B$11:$C$26,2,TRUE)</f>
        <v>$3.001 to $7.000</v>
      </c>
    </row>
    <row r="1177" spans="1:37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VLOOKUP(A1177,Assets!$B$7:$C$11,2,TRUE)</f>
        <v>36 to 45 years old</v>
      </c>
      <c r="AK1177" t="str">
        <f>VLOOKUP(S1177,Assets!$B$11:$C$26,2,TRUE)</f>
        <v>$3.001 to $7.000</v>
      </c>
    </row>
    <row r="1178" spans="1:37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VLOOKUP(A1178,Assets!$B$7:$C$11,2,TRUE)</f>
        <v>46 to 55 years old</v>
      </c>
      <c r="AK1178" t="str">
        <f>VLOOKUP(S1178,Assets!$B$11:$C$26,2,TRUE)</f>
        <v>Over $12.000</v>
      </c>
    </row>
    <row r="1179" spans="1:37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VLOOKUP(A1179,Assets!$B$7:$C$11,2,TRUE)</f>
        <v>46 to 55 years old</v>
      </c>
      <c r="AK1179" t="str">
        <f>VLOOKUP(S1179,Assets!$B$11:$C$26,2,TRUE)</f>
        <v>Over $12.000</v>
      </c>
    </row>
    <row r="1180" spans="1:37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VLOOKUP(A1180,Assets!$B$7:$C$11,2,TRUE)</f>
        <v>18 to 25 years old</v>
      </c>
      <c r="AK1180" t="str">
        <f>VLOOKUP(S1180,Assets!$B$11:$C$26,2,TRUE)</f>
        <v>Up to $3.000</v>
      </c>
    </row>
    <row r="1181" spans="1:37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VLOOKUP(A1181,Assets!$B$7:$C$11,2,TRUE)</f>
        <v>26 to 35 years old</v>
      </c>
      <c r="AK1181" t="str">
        <f>VLOOKUP(S1181,Assets!$B$11:$C$26,2,TRUE)</f>
        <v>$3.001 to $7.000</v>
      </c>
    </row>
    <row r="1182" spans="1:37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VLOOKUP(A1182,Assets!$B$7:$C$11,2,TRUE)</f>
        <v>36 to 45 years old</v>
      </c>
      <c r="AK1182" t="str">
        <f>VLOOKUP(S1182,Assets!$B$11:$C$26,2,TRUE)</f>
        <v>Up to $3.000</v>
      </c>
    </row>
    <row r="1183" spans="1:37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VLOOKUP(A1183,Assets!$B$7:$C$11,2,TRUE)</f>
        <v>46 to 55 years old</v>
      </c>
      <c r="AK1183" t="str">
        <f>VLOOKUP(S1183,Assets!$B$11:$C$26,2,TRUE)</f>
        <v>Over $12.000</v>
      </c>
    </row>
    <row r="1184" spans="1:37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VLOOKUP(A1184,Assets!$B$7:$C$11,2,TRUE)</f>
        <v>36 to 45 years old</v>
      </c>
      <c r="AK1184" t="str">
        <f>VLOOKUP(S1184,Assets!$B$11:$C$26,2,TRUE)</f>
        <v>$3.001 to $7.000</v>
      </c>
    </row>
    <row r="1185" spans="1:37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VLOOKUP(A1185,Assets!$B$7:$C$11,2,TRUE)</f>
        <v>36 to 45 years old</v>
      </c>
      <c r="AK1185" t="str">
        <f>VLOOKUP(S1185,Assets!$B$11:$C$26,2,TRUE)</f>
        <v>$3.001 to $7.000</v>
      </c>
    </row>
    <row r="1186" spans="1:37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VLOOKUP(A1186,Assets!$B$7:$C$11,2,TRUE)</f>
        <v>46 to 55 years old</v>
      </c>
      <c r="AK1186" t="str">
        <f>VLOOKUP(S1186,Assets!$B$11:$C$26,2,TRUE)</f>
        <v>Over $12.000</v>
      </c>
    </row>
    <row r="1187" spans="1:37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VLOOKUP(A1187,Assets!$B$7:$C$11,2,TRUE)</f>
        <v>36 to 45 years old</v>
      </c>
      <c r="AK1187" t="str">
        <f>VLOOKUP(S1187,Assets!$B$11:$C$26,2,TRUE)</f>
        <v>Over $12.000</v>
      </c>
    </row>
    <row r="1188" spans="1:37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VLOOKUP(A1188,Assets!$B$7:$C$11,2,TRUE)</f>
        <v>26 to 35 years old</v>
      </c>
      <c r="AK1188" t="str">
        <f>VLOOKUP(S1188,Assets!$B$11:$C$26,2,TRUE)</f>
        <v>$3.001 to $7.000</v>
      </c>
    </row>
    <row r="1189" spans="1:37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VLOOKUP(A1189,Assets!$B$7:$C$11,2,TRUE)</f>
        <v>36 to 45 years old</v>
      </c>
      <c r="AK1189" t="str">
        <f>VLOOKUP(S1189,Assets!$B$11:$C$26,2,TRUE)</f>
        <v>$3.001 to $7.000</v>
      </c>
    </row>
    <row r="1190" spans="1:37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VLOOKUP(A1190,Assets!$B$7:$C$11,2,TRUE)</f>
        <v>26 to 35 years old</v>
      </c>
      <c r="AK1190" t="str">
        <f>VLOOKUP(S1190,Assets!$B$11:$C$26,2,TRUE)</f>
        <v>$3.001 to $7.000</v>
      </c>
    </row>
    <row r="1191" spans="1:37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VLOOKUP(A1191,Assets!$B$7:$C$11,2,TRUE)</f>
        <v>26 to 35 years old</v>
      </c>
      <c r="AK1191" t="str">
        <f>VLOOKUP(S1191,Assets!$B$11:$C$26,2,TRUE)</f>
        <v>$3.001 to $7.000</v>
      </c>
    </row>
    <row r="1192" spans="1:37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VLOOKUP(A1192,Assets!$B$7:$C$11,2,TRUE)</f>
        <v>26 to 35 years old</v>
      </c>
      <c r="AK1192" t="str">
        <f>VLOOKUP(S1192,Assets!$B$11:$C$26,2,TRUE)</f>
        <v>$3.001 to $7.000</v>
      </c>
    </row>
    <row r="1193" spans="1:37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VLOOKUP(A1193,Assets!$B$7:$C$11,2,TRUE)</f>
        <v>26 to 35 years old</v>
      </c>
      <c r="AK1193" t="str">
        <f>VLOOKUP(S1193,Assets!$B$11:$C$26,2,TRUE)</f>
        <v>$3.001 to $7.000</v>
      </c>
    </row>
    <row r="1194" spans="1:37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VLOOKUP(A1194,Assets!$B$7:$C$11,2,TRUE)</f>
        <v>46 to 55 years old</v>
      </c>
      <c r="AK1194" t="str">
        <f>VLOOKUP(S1194,Assets!$B$11:$C$26,2,TRUE)</f>
        <v>Up to $3.000</v>
      </c>
    </row>
    <row r="1195" spans="1:37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VLOOKUP(A1195,Assets!$B$7:$C$11,2,TRUE)</f>
        <v>36 to 45 years old</v>
      </c>
      <c r="AK1195" t="str">
        <f>VLOOKUP(S1195,Assets!$B$11:$C$26,2,TRUE)</f>
        <v>Up to $3.000</v>
      </c>
    </row>
    <row r="1196" spans="1:37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VLOOKUP(A1196,Assets!$B$7:$C$11,2,TRUE)</f>
        <v>46 to 55 years old</v>
      </c>
      <c r="AK1196" t="str">
        <f>VLOOKUP(S1196,Assets!$B$11:$C$26,2,TRUE)</f>
        <v>Over $12.000</v>
      </c>
    </row>
    <row r="1197" spans="1:37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VLOOKUP(A1197,Assets!$B$7:$C$11,2,TRUE)</f>
        <v>46 to 55 years old</v>
      </c>
      <c r="AK1197" t="str">
        <f>VLOOKUP(S1197,Assets!$B$11:$C$26,2,TRUE)</f>
        <v>Over $12.000</v>
      </c>
    </row>
    <row r="1198" spans="1:37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VLOOKUP(A1198,Assets!$B$7:$C$11,2,TRUE)</f>
        <v>36 to 45 years old</v>
      </c>
      <c r="AK1198" t="str">
        <f>VLOOKUP(S1198,Assets!$B$11:$C$26,2,TRUE)</f>
        <v>$7.001 to $12.000</v>
      </c>
    </row>
    <row r="1199" spans="1:37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VLOOKUP(A1199,Assets!$B$7:$C$11,2,TRUE)</f>
        <v>18 to 25 years old</v>
      </c>
      <c r="AK1199" t="str">
        <f>VLOOKUP(S1199,Assets!$B$11:$C$26,2,TRUE)</f>
        <v>Up to $3.000</v>
      </c>
    </row>
    <row r="1200" spans="1:37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VLOOKUP(A1200,Assets!$B$7:$C$11,2,TRUE)</f>
        <v>26 to 35 years old</v>
      </c>
      <c r="AK1200" t="str">
        <f>VLOOKUP(S1200,Assets!$B$11:$C$26,2,TRUE)</f>
        <v>$3.001 to $7.000</v>
      </c>
    </row>
    <row r="1201" spans="1:37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VLOOKUP(A1201,Assets!$B$7:$C$11,2,TRUE)</f>
        <v>36 to 45 years old</v>
      </c>
      <c r="AK1201" t="str">
        <f>VLOOKUP(S1201,Assets!$B$11:$C$26,2,TRUE)</f>
        <v>$3.001 to $7.000</v>
      </c>
    </row>
    <row r="1202" spans="1:37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VLOOKUP(A1202,Assets!$B$7:$C$11,2,TRUE)</f>
        <v>36 to 45 years old</v>
      </c>
      <c r="AK1202" t="str">
        <f>VLOOKUP(S1202,Assets!$B$11:$C$26,2,TRUE)</f>
        <v>$3.001 to $7.000</v>
      </c>
    </row>
    <row r="1203" spans="1:37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VLOOKUP(A1203,Assets!$B$7:$C$11,2,TRUE)</f>
        <v>18 to 25 years old</v>
      </c>
      <c r="AK1203" t="str">
        <f>VLOOKUP(S1203,Assets!$B$11:$C$26,2,TRUE)</f>
        <v>$3.001 to $7.000</v>
      </c>
    </row>
    <row r="1204" spans="1:37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VLOOKUP(A1204,Assets!$B$7:$C$11,2,TRUE)</f>
        <v>36 to 45 years old</v>
      </c>
      <c r="AK1204" t="str">
        <f>VLOOKUP(S1204,Assets!$B$11:$C$26,2,TRUE)</f>
        <v>$3.001 to $7.000</v>
      </c>
    </row>
    <row r="1205" spans="1:37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VLOOKUP(A1205,Assets!$B$7:$C$11,2,TRUE)</f>
        <v>46 to 55 years old</v>
      </c>
      <c r="AK1205" t="str">
        <f>VLOOKUP(S1205,Assets!$B$11:$C$26,2,TRUE)</f>
        <v>$7.001 to $12.000</v>
      </c>
    </row>
    <row r="1206" spans="1:37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VLOOKUP(A1206,Assets!$B$7:$C$11,2,TRUE)</f>
        <v>46 to 55 years old</v>
      </c>
      <c r="AK1206" t="str">
        <f>VLOOKUP(S1206,Assets!$B$11:$C$26,2,TRUE)</f>
        <v>Up to $3.000</v>
      </c>
    </row>
    <row r="1207" spans="1:37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VLOOKUP(A1207,Assets!$B$7:$C$11,2,TRUE)</f>
        <v>26 to 35 years old</v>
      </c>
      <c r="AK1207" t="str">
        <f>VLOOKUP(S1207,Assets!$B$11:$C$26,2,TRUE)</f>
        <v>Up to $3.000</v>
      </c>
    </row>
    <row r="1208" spans="1:37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VLOOKUP(A1208,Assets!$B$7:$C$11,2,TRUE)</f>
        <v>26 to 35 years old</v>
      </c>
      <c r="AK1208" t="str">
        <f>VLOOKUP(S1208,Assets!$B$11:$C$26,2,TRUE)</f>
        <v>Up to $3.000</v>
      </c>
    </row>
    <row r="1209" spans="1:37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VLOOKUP(A1209,Assets!$B$7:$C$11,2,TRUE)</f>
        <v>46 to 55 years old</v>
      </c>
      <c r="AK1209" t="str">
        <f>VLOOKUP(S1209,Assets!$B$11:$C$26,2,TRUE)</f>
        <v>$3.001 to $7.000</v>
      </c>
    </row>
    <row r="1210" spans="1:37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VLOOKUP(A1210,Assets!$B$7:$C$11,2,TRUE)</f>
        <v>26 to 35 years old</v>
      </c>
      <c r="AK1210" t="str">
        <f>VLOOKUP(S1210,Assets!$B$11:$C$26,2,TRUE)</f>
        <v>$3.001 to $7.000</v>
      </c>
    </row>
    <row r="1211" spans="1:37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VLOOKUP(A1211,Assets!$B$7:$C$11,2,TRUE)</f>
        <v>56 years or older</v>
      </c>
      <c r="AK1211" t="str">
        <f>VLOOKUP(S1211,Assets!$B$11:$C$26,2,TRUE)</f>
        <v>$7.001 to $12.000</v>
      </c>
    </row>
    <row r="1212" spans="1:37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VLOOKUP(A1212,Assets!$B$7:$C$11,2,TRUE)</f>
        <v>26 to 35 years old</v>
      </c>
      <c r="AK1212" t="str">
        <f>VLOOKUP(S1212,Assets!$B$11:$C$26,2,TRUE)</f>
        <v>Up to $3.000</v>
      </c>
    </row>
    <row r="1213" spans="1:37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VLOOKUP(A1213,Assets!$B$7:$C$11,2,TRUE)</f>
        <v>36 to 45 years old</v>
      </c>
      <c r="AK1213" t="str">
        <f>VLOOKUP(S1213,Assets!$B$11:$C$26,2,TRUE)</f>
        <v>$7.001 to $12.000</v>
      </c>
    </row>
    <row r="1214" spans="1:37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VLOOKUP(A1214,Assets!$B$7:$C$11,2,TRUE)</f>
        <v>26 to 35 years old</v>
      </c>
      <c r="AK1214" t="str">
        <f>VLOOKUP(S1214,Assets!$B$11:$C$26,2,TRUE)</f>
        <v>Up to $3.000</v>
      </c>
    </row>
    <row r="1215" spans="1:37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VLOOKUP(A1215,Assets!$B$7:$C$11,2,TRUE)</f>
        <v>18 to 25 years old</v>
      </c>
      <c r="AK1215" t="str">
        <f>VLOOKUP(S1215,Assets!$B$11:$C$26,2,TRUE)</f>
        <v>Up to $3.000</v>
      </c>
    </row>
    <row r="1216" spans="1:37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VLOOKUP(A1216,Assets!$B$7:$C$11,2,TRUE)</f>
        <v>36 to 45 years old</v>
      </c>
      <c r="AK1216" t="str">
        <f>VLOOKUP(S1216,Assets!$B$11:$C$26,2,TRUE)</f>
        <v>$7.001 to $12.000</v>
      </c>
    </row>
    <row r="1217" spans="1:37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VLOOKUP(A1217,Assets!$B$7:$C$11,2,TRUE)</f>
        <v>26 to 35 years old</v>
      </c>
      <c r="AK1217" t="str">
        <f>VLOOKUP(S1217,Assets!$B$11:$C$26,2,TRUE)</f>
        <v>$3.001 to $7.000</v>
      </c>
    </row>
    <row r="1218" spans="1:37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VLOOKUP(A1218,Assets!$B$7:$C$11,2,TRUE)</f>
        <v>36 to 45 years old</v>
      </c>
      <c r="AK1218" t="str">
        <f>VLOOKUP(S1218,Assets!$B$11:$C$26,2,TRUE)</f>
        <v>$7.001 to $12.000</v>
      </c>
    </row>
    <row r="1219" spans="1:37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VLOOKUP(A1219,Assets!$B$7:$C$11,2,TRUE)</f>
        <v>18 to 25 years old</v>
      </c>
      <c r="AK1219" t="str">
        <f>VLOOKUP(S1219,Assets!$B$11:$C$26,2,TRUE)</f>
        <v>$3.001 to $7.000</v>
      </c>
    </row>
    <row r="1220" spans="1:37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VLOOKUP(A1220,Assets!$B$7:$C$11,2,TRUE)</f>
        <v>36 to 45 years old</v>
      </c>
      <c r="AK1220" t="str">
        <f>VLOOKUP(S1220,Assets!$B$11:$C$26,2,TRUE)</f>
        <v>$7.001 to $12.000</v>
      </c>
    </row>
    <row r="1221" spans="1:37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VLOOKUP(A1221,Assets!$B$7:$C$11,2,TRUE)</f>
        <v>26 to 35 years old</v>
      </c>
      <c r="AK1221" t="str">
        <f>VLOOKUP(S1221,Assets!$B$11:$C$26,2,TRUE)</f>
        <v>Up to $3.000</v>
      </c>
    </row>
    <row r="1222" spans="1:37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VLOOKUP(A1222,Assets!$B$7:$C$11,2,TRUE)</f>
        <v>36 to 45 years old</v>
      </c>
      <c r="AK1222" t="str">
        <f>VLOOKUP(S1222,Assets!$B$11:$C$26,2,TRUE)</f>
        <v>$3.001 to $7.000</v>
      </c>
    </row>
    <row r="1223" spans="1:37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VLOOKUP(A1223,Assets!$B$7:$C$11,2,TRUE)</f>
        <v>36 to 45 years old</v>
      </c>
      <c r="AK1223" t="str">
        <f>VLOOKUP(S1223,Assets!$B$11:$C$26,2,TRUE)</f>
        <v>$7.001 to $12.000</v>
      </c>
    </row>
    <row r="1224" spans="1:37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VLOOKUP(A1224,Assets!$B$7:$C$11,2,TRUE)</f>
        <v>18 to 25 years old</v>
      </c>
      <c r="AK1224" t="str">
        <f>VLOOKUP(S1224,Assets!$B$11:$C$26,2,TRUE)</f>
        <v>Up to $3.000</v>
      </c>
    </row>
    <row r="1225" spans="1:37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VLOOKUP(A1225,Assets!$B$7:$C$11,2,TRUE)</f>
        <v>46 to 55 years old</v>
      </c>
      <c r="AK1225" t="str">
        <f>VLOOKUP(S1225,Assets!$B$11:$C$26,2,TRUE)</f>
        <v>Over $12.000</v>
      </c>
    </row>
    <row r="1226" spans="1:37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VLOOKUP(A1226,Assets!$B$7:$C$11,2,TRUE)</f>
        <v>26 to 35 years old</v>
      </c>
      <c r="AK1226" t="str">
        <f>VLOOKUP(S1226,Assets!$B$11:$C$26,2,TRUE)</f>
        <v>Up to $3.000</v>
      </c>
    </row>
    <row r="1227" spans="1:37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VLOOKUP(A1227,Assets!$B$7:$C$11,2,TRUE)</f>
        <v>36 to 45 years old</v>
      </c>
      <c r="AK1227" t="str">
        <f>VLOOKUP(S1227,Assets!$B$11:$C$26,2,TRUE)</f>
        <v>Over $12.000</v>
      </c>
    </row>
    <row r="1228" spans="1:37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VLOOKUP(A1228,Assets!$B$7:$C$11,2,TRUE)</f>
        <v>26 to 35 years old</v>
      </c>
      <c r="AK1228" t="str">
        <f>VLOOKUP(S1228,Assets!$B$11:$C$26,2,TRUE)</f>
        <v>$3.001 to $7.000</v>
      </c>
    </row>
    <row r="1229" spans="1:37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VLOOKUP(A1229,Assets!$B$7:$C$11,2,TRUE)</f>
        <v>26 to 35 years old</v>
      </c>
      <c r="AK1229" t="str">
        <f>VLOOKUP(S1229,Assets!$B$11:$C$26,2,TRUE)</f>
        <v>$3.001 to $7.000</v>
      </c>
    </row>
    <row r="1230" spans="1:37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VLOOKUP(A1230,Assets!$B$7:$C$11,2,TRUE)</f>
        <v>36 to 45 years old</v>
      </c>
      <c r="AK1230" t="str">
        <f>VLOOKUP(S1230,Assets!$B$11:$C$26,2,TRUE)</f>
        <v>$3.001 to $7.000</v>
      </c>
    </row>
    <row r="1231" spans="1:37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VLOOKUP(A1231,Assets!$B$7:$C$11,2,TRUE)</f>
        <v>36 to 45 years old</v>
      </c>
      <c r="AK1231" t="str">
        <f>VLOOKUP(S1231,Assets!$B$11:$C$26,2,TRUE)</f>
        <v>$3.001 to $7.000</v>
      </c>
    </row>
    <row r="1232" spans="1:37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VLOOKUP(A1232,Assets!$B$7:$C$11,2,TRUE)</f>
        <v>18 to 25 years old</v>
      </c>
      <c r="AK1232" t="str">
        <f>VLOOKUP(S1232,Assets!$B$11:$C$26,2,TRUE)</f>
        <v>$3.001 to $7.000</v>
      </c>
    </row>
    <row r="1233" spans="1:37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VLOOKUP(A1233,Assets!$B$7:$C$11,2,TRUE)</f>
        <v>46 to 55 years old</v>
      </c>
      <c r="AK1233" t="str">
        <f>VLOOKUP(S1233,Assets!$B$11:$C$26,2,TRUE)</f>
        <v>$3.001 to $7.000</v>
      </c>
    </row>
    <row r="1234" spans="1:37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VLOOKUP(A1234,Assets!$B$7:$C$11,2,TRUE)</f>
        <v>26 to 35 years old</v>
      </c>
      <c r="AK1234" t="str">
        <f>VLOOKUP(S1234,Assets!$B$11:$C$26,2,TRUE)</f>
        <v>$3.001 to $7.000</v>
      </c>
    </row>
    <row r="1235" spans="1:37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VLOOKUP(A1235,Assets!$B$7:$C$11,2,TRUE)</f>
        <v>26 to 35 years old</v>
      </c>
      <c r="AK1235" t="str">
        <f>VLOOKUP(S1235,Assets!$B$11:$C$26,2,TRUE)</f>
        <v>Up to $3.000</v>
      </c>
    </row>
    <row r="1236" spans="1:37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VLOOKUP(A1236,Assets!$B$7:$C$11,2,TRUE)</f>
        <v>46 to 55 years old</v>
      </c>
      <c r="AK1236" t="str">
        <f>VLOOKUP(S1236,Assets!$B$11:$C$26,2,TRUE)</f>
        <v>$3.001 to $7.000</v>
      </c>
    </row>
    <row r="1237" spans="1:37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VLOOKUP(A1237,Assets!$B$7:$C$11,2,TRUE)</f>
        <v>46 to 55 years old</v>
      </c>
      <c r="AK1237" t="str">
        <f>VLOOKUP(S1237,Assets!$B$11:$C$26,2,TRUE)</f>
        <v>$7.001 to $12.000</v>
      </c>
    </row>
    <row r="1238" spans="1:37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VLOOKUP(A1238,Assets!$B$7:$C$11,2,TRUE)</f>
        <v>36 to 45 years old</v>
      </c>
      <c r="AK1238" t="str">
        <f>VLOOKUP(S1238,Assets!$B$11:$C$26,2,TRUE)</f>
        <v>$3.001 to $7.000</v>
      </c>
    </row>
    <row r="1239" spans="1:37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VLOOKUP(A1239,Assets!$B$7:$C$11,2,TRUE)</f>
        <v>26 to 35 years old</v>
      </c>
      <c r="AK1239" t="str">
        <f>VLOOKUP(S1239,Assets!$B$11:$C$26,2,TRUE)</f>
        <v>$3.001 to $7.000</v>
      </c>
    </row>
    <row r="1240" spans="1:37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VLOOKUP(A1240,Assets!$B$7:$C$11,2,TRUE)</f>
        <v>18 to 25 years old</v>
      </c>
      <c r="AK1240" t="str">
        <f>VLOOKUP(S1240,Assets!$B$11:$C$26,2,TRUE)</f>
        <v>$3.001 to $7.000</v>
      </c>
    </row>
    <row r="1241" spans="1:37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VLOOKUP(A1241,Assets!$B$7:$C$11,2,TRUE)</f>
        <v>26 to 35 years old</v>
      </c>
      <c r="AK1241" t="str">
        <f>VLOOKUP(S1241,Assets!$B$11:$C$26,2,TRUE)</f>
        <v>$3.001 to $7.000</v>
      </c>
    </row>
    <row r="1242" spans="1:37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VLOOKUP(A1242,Assets!$B$7:$C$11,2,TRUE)</f>
        <v>36 to 45 years old</v>
      </c>
      <c r="AK1242" t="str">
        <f>VLOOKUP(S1242,Assets!$B$11:$C$26,2,TRUE)</f>
        <v>$3.001 to $7.000</v>
      </c>
    </row>
    <row r="1243" spans="1:37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VLOOKUP(A1243,Assets!$B$7:$C$11,2,TRUE)</f>
        <v>26 to 35 years old</v>
      </c>
      <c r="AK1243" t="str">
        <f>VLOOKUP(S1243,Assets!$B$11:$C$26,2,TRUE)</f>
        <v>$7.001 to $12.000</v>
      </c>
    </row>
    <row r="1244" spans="1:37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VLOOKUP(A1244,Assets!$B$7:$C$11,2,TRUE)</f>
        <v>36 to 45 years old</v>
      </c>
      <c r="AK1244" t="str">
        <f>VLOOKUP(S1244,Assets!$B$11:$C$26,2,TRUE)</f>
        <v>Over $12.000</v>
      </c>
    </row>
    <row r="1245" spans="1:37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VLOOKUP(A1245,Assets!$B$7:$C$11,2,TRUE)</f>
        <v>36 to 45 years old</v>
      </c>
      <c r="AK1245" t="str">
        <f>VLOOKUP(S1245,Assets!$B$11:$C$26,2,TRUE)</f>
        <v>$7.001 to $12.000</v>
      </c>
    </row>
    <row r="1246" spans="1:37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VLOOKUP(A1246,Assets!$B$7:$C$11,2,TRUE)</f>
        <v>26 to 35 years old</v>
      </c>
      <c r="AK1246" t="str">
        <f>VLOOKUP(S1246,Assets!$B$11:$C$26,2,TRUE)</f>
        <v>$3.001 to $7.000</v>
      </c>
    </row>
    <row r="1247" spans="1:37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VLOOKUP(A1247,Assets!$B$7:$C$11,2,TRUE)</f>
        <v>18 to 25 years old</v>
      </c>
      <c r="AK1247" t="str">
        <f>VLOOKUP(S1247,Assets!$B$11:$C$26,2,TRUE)</f>
        <v>Up to $3.000</v>
      </c>
    </row>
    <row r="1248" spans="1:37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VLOOKUP(A1248,Assets!$B$7:$C$11,2,TRUE)</f>
        <v>26 to 35 years old</v>
      </c>
      <c r="AK1248" t="str">
        <f>VLOOKUP(S1248,Assets!$B$11:$C$26,2,TRUE)</f>
        <v>Up to $3.000</v>
      </c>
    </row>
    <row r="1249" spans="1:37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VLOOKUP(A1249,Assets!$B$7:$C$11,2,TRUE)</f>
        <v>26 to 35 years old</v>
      </c>
      <c r="AK1249" t="str">
        <f>VLOOKUP(S1249,Assets!$B$11:$C$26,2,TRUE)</f>
        <v>$7.001 to $12.000</v>
      </c>
    </row>
    <row r="1250" spans="1:37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VLOOKUP(A1250,Assets!$B$7:$C$11,2,TRUE)</f>
        <v>26 to 35 years old</v>
      </c>
      <c r="AK1250" t="str">
        <f>VLOOKUP(S1250,Assets!$B$11:$C$26,2,TRUE)</f>
        <v>$3.001 to $7.000</v>
      </c>
    </row>
    <row r="1251" spans="1:37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VLOOKUP(A1251,Assets!$B$7:$C$11,2,TRUE)</f>
        <v>26 to 35 years old</v>
      </c>
      <c r="AK1251" t="str">
        <f>VLOOKUP(S1251,Assets!$B$11:$C$26,2,TRUE)</f>
        <v>Up to $3.000</v>
      </c>
    </row>
    <row r="1252" spans="1:37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VLOOKUP(A1252,Assets!$B$7:$C$11,2,TRUE)</f>
        <v>26 to 35 years old</v>
      </c>
      <c r="AK1252" t="str">
        <f>VLOOKUP(S1252,Assets!$B$11:$C$26,2,TRUE)</f>
        <v>$3.001 to $7.000</v>
      </c>
    </row>
    <row r="1253" spans="1:37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VLOOKUP(A1253,Assets!$B$7:$C$11,2,TRUE)</f>
        <v>26 to 35 years old</v>
      </c>
      <c r="AK1253" t="str">
        <f>VLOOKUP(S1253,Assets!$B$11:$C$26,2,TRUE)</f>
        <v>$7.001 to $12.000</v>
      </c>
    </row>
    <row r="1254" spans="1:37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VLOOKUP(A1254,Assets!$B$7:$C$11,2,TRUE)</f>
        <v>26 to 35 years old</v>
      </c>
      <c r="AK1254" t="str">
        <f>VLOOKUP(S1254,Assets!$B$11:$C$26,2,TRUE)</f>
        <v>Up to $3.000</v>
      </c>
    </row>
    <row r="1255" spans="1:37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VLOOKUP(A1255,Assets!$B$7:$C$11,2,TRUE)</f>
        <v>26 to 35 years old</v>
      </c>
      <c r="AK1255" t="str">
        <f>VLOOKUP(S1255,Assets!$B$11:$C$26,2,TRUE)</f>
        <v>$3.001 to $7.000</v>
      </c>
    </row>
    <row r="1256" spans="1:37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VLOOKUP(A1256,Assets!$B$7:$C$11,2,TRUE)</f>
        <v>46 to 55 years old</v>
      </c>
      <c r="AK1256" t="str">
        <f>VLOOKUP(S1256,Assets!$B$11:$C$26,2,TRUE)</f>
        <v>$3.001 to $7.000</v>
      </c>
    </row>
    <row r="1257" spans="1:37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VLOOKUP(A1257,Assets!$B$7:$C$11,2,TRUE)</f>
        <v>26 to 35 years old</v>
      </c>
      <c r="AK1257" t="str">
        <f>VLOOKUP(S1257,Assets!$B$11:$C$26,2,TRUE)</f>
        <v>$7.001 to $12.000</v>
      </c>
    </row>
    <row r="1258" spans="1:37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VLOOKUP(A1258,Assets!$B$7:$C$11,2,TRUE)</f>
        <v>36 to 45 years old</v>
      </c>
      <c r="AK1258" t="str">
        <f>VLOOKUP(S1258,Assets!$B$11:$C$26,2,TRUE)</f>
        <v>Up to $3.000</v>
      </c>
    </row>
    <row r="1259" spans="1:37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VLOOKUP(A1259,Assets!$B$7:$C$11,2,TRUE)</f>
        <v>26 to 35 years old</v>
      </c>
      <c r="AK1259" t="str">
        <f>VLOOKUP(S1259,Assets!$B$11:$C$26,2,TRUE)</f>
        <v>$7.001 to $12.000</v>
      </c>
    </row>
    <row r="1260" spans="1:37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VLOOKUP(A1260,Assets!$B$7:$C$11,2,TRUE)</f>
        <v>26 to 35 years old</v>
      </c>
      <c r="AK1260" t="str">
        <f>VLOOKUP(S1260,Assets!$B$11:$C$26,2,TRUE)</f>
        <v>Up to $3.000</v>
      </c>
    </row>
    <row r="1261" spans="1:37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VLOOKUP(A1261,Assets!$B$7:$C$11,2,TRUE)</f>
        <v>26 to 35 years old</v>
      </c>
      <c r="AK1261" t="str">
        <f>VLOOKUP(S1261,Assets!$B$11:$C$26,2,TRUE)</f>
        <v>$3.001 to $7.000</v>
      </c>
    </row>
    <row r="1262" spans="1:37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VLOOKUP(A1262,Assets!$B$7:$C$11,2,TRUE)</f>
        <v>26 to 35 years old</v>
      </c>
      <c r="AK1262" t="str">
        <f>VLOOKUP(S1262,Assets!$B$11:$C$26,2,TRUE)</f>
        <v>Up to $3.000</v>
      </c>
    </row>
    <row r="1263" spans="1:37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VLOOKUP(A1263,Assets!$B$7:$C$11,2,TRUE)</f>
        <v>36 to 45 years old</v>
      </c>
      <c r="AK1263" t="str">
        <f>VLOOKUP(S1263,Assets!$B$11:$C$26,2,TRUE)</f>
        <v>$3.001 to $7.000</v>
      </c>
    </row>
    <row r="1264" spans="1:37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VLOOKUP(A1264,Assets!$B$7:$C$11,2,TRUE)</f>
        <v>36 to 45 years old</v>
      </c>
      <c r="AK1264" t="str">
        <f>VLOOKUP(S1264,Assets!$B$11:$C$26,2,TRUE)</f>
        <v>Up to $3.000</v>
      </c>
    </row>
    <row r="1265" spans="1:37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VLOOKUP(A1265,Assets!$B$7:$C$11,2,TRUE)</f>
        <v>36 to 45 years old</v>
      </c>
      <c r="AK1265" t="str">
        <f>VLOOKUP(S1265,Assets!$B$11:$C$26,2,TRUE)</f>
        <v>Up to $3.000</v>
      </c>
    </row>
    <row r="1266" spans="1:37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VLOOKUP(A1266,Assets!$B$7:$C$11,2,TRUE)</f>
        <v>46 to 55 years old</v>
      </c>
      <c r="AK1266" t="str">
        <f>VLOOKUP(S1266,Assets!$B$11:$C$26,2,TRUE)</f>
        <v>Over $12.000</v>
      </c>
    </row>
    <row r="1267" spans="1:37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VLOOKUP(A1267,Assets!$B$7:$C$11,2,TRUE)</f>
        <v>26 to 35 years old</v>
      </c>
      <c r="AK1267" t="str">
        <f>VLOOKUP(S1267,Assets!$B$11:$C$26,2,TRUE)</f>
        <v>$3.001 to $7.000</v>
      </c>
    </row>
    <row r="1268" spans="1:37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VLOOKUP(A1268,Assets!$B$7:$C$11,2,TRUE)</f>
        <v>36 to 45 years old</v>
      </c>
      <c r="AK1268" t="str">
        <f>VLOOKUP(S1268,Assets!$B$11:$C$26,2,TRUE)</f>
        <v>Up to $3.000</v>
      </c>
    </row>
    <row r="1269" spans="1:37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VLOOKUP(A1269,Assets!$B$7:$C$11,2,TRUE)</f>
        <v>26 to 35 years old</v>
      </c>
      <c r="AK1269" t="str">
        <f>VLOOKUP(S1269,Assets!$B$11:$C$26,2,TRUE)</f>
        <v>$3.001 to $7.000</v>
      </c>
    </row>
    <row r="1270" spans="1:37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VLOOKUP(A1270,Assets!$B$7:$C$11,2,TRUE)</f>
        <v>46 to 55 years old</v>
      </c>
      <c r="AK1270" t="str">
        <f>VLOOKUP(S1270,Assets!$B$11:$C$26,2,TRUE)</f>
        <v>Over $12.000</v>
      </c>
    </row>
    <row r="1271" spans="1:37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VLOOKUP(A1271,Assets!$B$7:$C$11,2,TRUE)</f>
        <v>36 to 45 years old</v>
      </c>
      <c r="AK1271" t="str">
        <f>VLOOKUP(S1271,Assets!$B$11:$C$26,2,TRUE)</f>
        <v>$3.001 to $7.000</v>
      </c>
    </row>
    <row r="1272" spans="1:37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VLOOKUP(A1272,Assets!$B$7:$C$11,2,TRUE)</f>
        <v>26 to 35 years old</v>
      </c>
      <c r="AK1272" t="str">
        <f>VLOOKUP(S1272,Assets!$B$11:$C$26,2,TRUE)</f>
        <v>$3.001 to $7.000</v>
      </c>
    </row>
    <row r="1273" spans="1:37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VLOOKUP(A1273,Assets!$B$7:$C$11,2,TRUE)</f>
        <v>18 to 25 years old</v>
      </c>
      <c r="AK1273" t="str">
        <f>VLOOKUP(S1273,Assets!$B$11:$C$26,2,TRUE)</f>
        <v>Up to $3.000</v>
      </c>
    </row>
    <row r="1274" spans="1:37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VLOOKUP(A1274,Assets!$B$7:$C$11,2,TRUE)</f>
        <v>36 to 45 years old</v>
      </c>
      <c r="AK1274" t="str">
        <f>VLOOKUP(S1274,Assets!$B$11:$C$26,2,TRUE)</f>
        <v>$3.001 to $7.000</v>
      </c>
    </row>
    <row r="1275" spans="1:37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VLOOKUP(A1275,Assets!$B$7:$C$11,2,TRUE)</f>
        <v>18 to 25 years old</v>
      </c>
      <c r="AK1275" t="str">
        <f>VLOOKUP(S1275,Assets!$B$11:$C$26,2,TRUE)</f>
        <v>Up to $3.000</v>
      </c>
    </row>
    <row r="1276" spans="1:37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VLOOKUP(A1276,Assets!$B$7:$C$11,2,TRUE)</f>
        <v>26 to 35 years old</v>
      </c>
      <c r="AK1276" t="str">
        <f>VLOOKUP(S1276,Assets!$B$11:$C$26,2,TRUE)</f>
        <v>$3.001 to $7.000</v>
      </c>
    </row>
    <row r="1277" spans="1:37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VLOOKUP(A1277,Assets!$B$7:$C$11,2,TRUE)</f>
        <v>46 to 55 years old</v>
      </c>
      <c r="AK1277" t="str">
        <f>VLOOKUP(S1277,Assets!$B$11:$C$26,2,TRUE)</f>
        <v>Over $12.000</v>
      </c>
    </row>
    <row r="1278" spans="1:37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VLOOKUP(A1278,Assets!$B$7:$C$11,2,TRUE)</f>
        <v>36 to 45 years old</v>
      </c>
      <c r="AK1278" t="str">
        <f>VLOOKUP(S1278,Assets!$B$11:$C$26,2,TRUE)</f>
        <v>$3.001 to $7.000</v>
      </c>
    </row>
    <row r="1279" spans="1:37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VLOOKUP(A1279,Assets!$B$7:$C$11,2,TRUE)</f>
        <v>46 to 55 years old</v>
      </c>
      <c r="AK1279" t="str">
        <f>VLOOKUP(S1279,Assets!$B$11:$C$26,2,TRUE)</f>
        <v>Over $12.000</v>
      </c>
    </row>
    <row r="1280" spans="1:37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VLOOKUP(A1280,Assets!$B$7:$C$11,2,TRUE)</f>
        <v>36 to 45 years old</v>
      </c>
      <c r="AK1280" t="str">
        <f>VLOOKUP(S1280,Assets!$B$11:$C$26,2,TRUE)</f>
        <v>$7.001 to $12.000</v>
      </c>
    </row>
    <row r="1281" spans="1:37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VLOOKUP(A1281,Assets!$B$7:$C$11,2,TRUE)</f>
        <v>36 to 45 years old</v>
      </c>
      <c r="AK1281" t="str">
        <f>VLOOKUP(S1281,Assets!$B$11:$C$26,2,TRUE)</f>
        <v>Up to $3.000</v>
      </c>
    </row>
    <row r="1282" spans="1:37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VLOOKUP(A1282,Assets!$B$7:$C$11,2,TRUE)</f>
        <v>36 to 45 years old</v>
      </c>
      <c r="AK1282" t="str">
        <f>VLOOKUP(S1282,Assets!$B$11:$C$26,2,TRUE)</f>
        <v>$3.001 to $7.000</v>
      </c>
    </row>
    <row r="1283" spans="1:37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VLOOKUP(A1283,Assets!$B$7:$C$11,2,TRUE)</f>
        <v>26 to 35 years old</v>
      </c>
      <c r="AK1283" t="str">
        <f>VLOOKUP(S1283,Assets!$B$11:$C$26,2,TRUE)</f>
        <v>$3.001 to $7.000</v>
      </c>
    </row>
    <row r="1284" spans="1:37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VLOOKUP(A1284,Assets!$B$7:$C$11,2,TRUE)</f>
        <v>26 to 35 years old</v>
      </c>
      <c r="AK1284" t="str">
        <f>VLOOKUP(S1284,Assets!$B$11:$C$26,2,TRUE)</f>
        <v>$3.001 to $7.000</v>
      </c>
    </row>
    <row r="1285" spans="1:37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VLOOKUP(A1285,Assets!$B$7:$C$11,2,TRUE)</f>
        <v>26 to 35 years old</v>
      </c>
      <c r="AK1285" t="str">
        <f>VLOOKUP(S1285,Assets!$B$11:$C$26,2,TRUE)</f>
        <v>Up to $3.000</v>
      </c>
    </row>
    <row r="1286" spans="1:37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VLOOKUP(A1286,Assets!$B$7:$C$11,2,TRUE)</f>
        <v>36 to 45 years old</v>
      </c>
      <c r="AK1286" t="str">
        <f>VLOOKUP(S1286,Assets!$B$11:$C$26,2,TRUE)</f>
        <v>Over $12.000</v>
      </c>
    </row>
    <row r="1287" spans="1:37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VLOOKUP(A1287,Assets!$B$7:$C$11,2,TRUE)</f>
        <v>46 to 55 years old</v>
      </c>
      <c r="AK1287" t="str">
        <f>VLOOKUP(S1287,Assets!$B$11:$C$26,2,TRUE)</f>
        <v>$7.001 to $12.000</v>
      </c>
    </row>
    <row r="1288" spans="1:37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VLOOKUP(A1288,Assets!$B$7:$C$11,2,TRUE)</f>
        <v>36 to 45 years old</v>
      </c>
      <c r="AK1288" t="str">
        <f>VLOOKUP(S1288,Assets!$B$11:$C$26,2,TRUE)</f>
        <v>$3.001 to $7.000</v>
      </c>
    </row>
    <row r="1289" spans="1:37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VLOOKUP(A1289,Assets!$B$7:$C$11,2,TRUE)</f>
        <v>36 to 45 years old</v>
      </c>
      <c r="AK1289" t="str">
        <f>VLOOKUP(S1289,Assets!$B$11:$C$26,2,TRUE)</f>
        <v>$3.001 to $7.000</v>
      </c>
    </row>
    <row r="1290" spans="1:37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VLOOKUP(A1290,Assets!$B$7:$C$11,2,TRUE)</f>
        <v>26 to 35 years old</v>
      </c>
      <c r="AK1290" t="str">
        <f>VLOOKUP(S1290,Assets!$B$11:$C$26,2,TRUE)</f>
        <v>$3.001 to $7.000</v>
      </c>
    </row>
    <row r="1291" spans="1:37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VLOOKUP(A1291,Assets!$B$7:$C$11,2,TRUE)</f>
        <v>36 to 45 years old</v>
      </c>
      <c r="AK1291" t="str">
        <f>VLOOKUP(S1291,Assets!$B$11:$C$26,2,TRUE)</f>
        <v>Up to $3.000</v>
      </c>
    </row>
    <row r="1292" spans="1:37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VLOOKUP(A1292,Assets!$B$7:$C$11,2,TRUE)</f>
        <v>26 to 35 years old</v>
      </c>
      <c r="AK1292" t="str">
        <f>VLOOKUP(S1292,Assets!$B$11:$C$26,2,TRUE)</f>
        <v>$3.001 to $7.000</v>
      </c>
    </row>
    <row r="1293" spans="1:37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VLOOKUP(A1293,Assets!$B$7:$C$11,2,TRUE)</f>
        <v>36 to 45 years old</v>
      </c>
      <c r="AK1293" t="str">
        <f>VLOOKUP(S1293,Assets!$B$11:$C$26,2,TRUE)</f>
        <v>$3.001 to $7.000</v>
      </c>
    </row>
    <row r="1294" spans="1:37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VLOOKUP(A1294,Assets!$B$7:$C$11,2,TRUE)</f>
        <v>36 to 45 years old</v>
      </c>
      <c r="AK1294" t="str">
        <f>VLOOKUP(S1294,Assets!$B$11:$C$26,2,TRUE)</f>
        <v>$3.001 to $7.000</v>
      </c>
    </row>
    <row r="1295" spans="1:37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VLOOKUP(A1295,Assets!$B$7:$C$11,2,TRUE)</f>
        <v>36 to 45 years old</v>
      </c>
      <c r="AK1295" t="str">
        <f>VLOOKUP(S1295,Assets!$B$11:$C$26,2,TRUE)</f>
        <v>Up to $3.000</v>
      </c>
    </row>
    <row r="1296" spans="1:37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VLOOKUP(A1296,Assets!$B$7:$C$11,2,TRUE)</f>
        <v>36 to 45 years old</v>
      </c>
      <c r="AK1296" t="str">
        <f>VLOOKUP(S1296,Assets!$B$11:$C$26,2,TRUE)</f>
        <v>$3.001 to $7.000</v>
      </c>
    </row>
    <row r="1297" spans="1:37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VLOOKUP(A1297,Assets!$B$7:$C$11,2,TRUE)</f>
        <v>36 to 45 years old</v>
      </c>
      <c r="AK1297" t="str">
        <f>VLOOKUP(S1297,Assets!$B$11:$C$26,2,TRUE)</f>
        <v>$7.001 to $12.000</v>
      </c>
    </row>
    <row r="1298" spans="1:37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VLOOKUP(A1298,Assets!$B$7:$C$11,2,TRUE)</f>
        <v>26 to 35 years old</v>
      </c>
      <c r="AK1298" t="str">
        <f>VLOOKUP(S1298,Assets!$B$11:$C$26,2,TRUE)</f>
        <v>$7.001 to $12.000</v>
      </c>
    </row>
    <row r="1299" spans="1:37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VLOOKUP(A1299,Assets!$B$7:$C$11,2,TRUE)</f>
        <v>26 to 35 years old</v>
      </c>
      <c r="AK1299" t="str">
        <f>VLOOKUP(S1299,Assets!$B$11:$C$26,2,TRUE)</f>
        <v>Up to $3.000</v>
      </c>
    </row>
    <row r="1300" spans="1:37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VLOOKUP(A1300,Assets!$B$7:$C$11,2,TRUE)</f>
        <v>46 to 55 years old</v>
      </c>
      <c r="AK1300" t="str">
        <f>VLOOKUP(S1300,Assets!$B$11:$C$26,2,TRUE)</f>
        <v>$7.001 to $12.000</v>
      </c>
    </row>
    <row r="1301" spans="1:37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VLOOKUP(A1301,Assets!$B$7:$C$11,2,TRUE)</f>
        <v>36 to 45 years old</v>
      </c>
      <c r="AK1301" t="str">
        <f>VLOOKUP(S1301,Assets!$B$11:$C$26,2,TRUE)</f>
        <v>$3.001 to $7.000</v>
      </c>
    </row>
    <row r="1302" spans="1:37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VLOOKUP(A1302,Assets!$B$7:$C$11,2,TRUE)</f>
        <v>26 to 35 years old</v>
      </c>
      <c r="AK1302" t="str">
        <f>VLOOKUP(S1302,Assets!$B$11:$C$26,2,TRUE)</f>
        <v>$3.001 to $7.000</v>
      </c>
    </row>
    <row r="1303" spans="1:37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VLOOKUP(A1303,Assets!$B$7:$C$11,2,TRUE)</f>
        <v>56 years or older</v>
      </c>
      <c r="AK1303" t="str">
        <f>VLOOKUP(S1303,Assets!$B$11:$C$26,2,TRUE)</f>
        <v>Over $12.000</v>
      </c>
    </row>
    <row r="1304" spans="1:37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VLOOKUP(A1304,Assets!$B$7:$C$11,2,TRUE)</f>
        <v>26 to 35 years old</v>
      </c>
      <c r="AK1304" t="str">
        <f>VLOOKUP(S1304,Assets!$B$11:$C$26,2,TRUE)</f>
        <v>Up to $3.000</v>
      </c>
    </row>
    <row r="1305" spans="1:37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VLOOKUP(A1305,Assets!$B$7:$C$11,2,TRUE)</f>
        <v>46 to 55 years old</v>
      </c>
      <c r="AK1305" t="str">
        <f>VLOOKUP(S1305,Assets!$B$11:$C$26,2,TRUE)</f>
        <v>$7.001 to $12.000</v>
      </c>
    </row>
    <row r="1306" spans="1:37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VLOOKUP(A1306,Assets!$B$7:$C$11,2,TRUE)</f>
        <v>36 to 45 years old</v>
      </c>
      <c r="AK1306" t="str">
        <f>VLOOKUP(S1306,Assets!$B$11:$C$26,2,TRUE)</f>
        <v>$3.001 to $7.000</v>
      </c>
    </row>
    <row r="1307" spans="1:37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VLOOKUP(A1307,Assets!$B$7:$C$11,2,TRUE)</f>
        <v>46 to 55 years old</v>
      </c>
      <c r="AK1307" t="str">
        <f>VLOOKUP(S1307,Assets!$B$11:$C$26,2,TRUE)</f>
        <v>$3.001 to $7.000</v>
      </c>
    </row>
    <row r="1308" spans="1:37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VLOOKUP(A1308,Assets!$B$7:$C$11,2,TRUE)</f>
        <v>26 to 35 years old</v>
      </c>
      <c r="AK1308" t="str">
        <f>VLOOKUP(S1308,Assets!$B$11:$C$26,2,TRUE)</f>
        <v>$7.001 to $12.000</v>
      </c>
    </row>
    <row r="1309" spans="1:37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VLOOKUP(A1309,Assets!$B$7:$C$11,2,TRUE)</f>
        <v>26 to 35 years old</v>
      </c>
      <c r="AK1309" t="str">
        <f>VLOOKUP(S1309,Assets!$B$11:$C$26,2,TRUE)</f>
        <v>$3.001 to $7.000</v>
      </c>
    </row>
    <row r="1310" spans="1:37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VLOOKUP(A1310,Assets!$B$7:$C$11,2,TRUE)</f>
        <v>36 to 45 years old</v>
      </c>
      <c r="AK1310" t="str">
        <f>VLOOKUP(S1310,Assets!$B$11:$C$26,2,TRUE)</f>
        <v>$3.001 to $7.000</v>
      </c>
    </row>
    <row r="1311" spans="1:37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VLOOKUP(A1311,Assets!$B$7:$C$11,2,TRUE)</f>
        <v>26 to 35 years old</v>
      </c>
      <c r="AK1311" t="str">
        <f>VLOOKUP(S1311,Assets!$B$11:$C$26,2,TRUE)</f>
        <v>$3.001 to $7.000</v>
      </c>
    </row>
    <row r="1312" spans="1:37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VLOOKUP(A1312,Assets!$B$7:$C$11,2,TRUE)</f>
        <v>56 years or older</v>
      </c>
      <c r="AK1312" t="str">
        <f>VLOOKUP(S1312,Assets!$B$11:$C$26,2,TRUE)</f>
        <v>Over $12.000</v>
      </c>
    </row>
    <row r="1313" spans="1:37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VLOOKUP(A1313,Assets!$B$7:$C$11,2,TRUE)</f>
        <v>18 to 25 years old</v>
      </c>
      <c r="AK1313" t="str">
        <f>VLOOKUP(S1313,Assets!$B$11:$C$26,2,TRUE)</f>
        <v>Up to $3.000</v>
      </c>
    </row>
    <row r="1314" spans="1:37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VLOOKUP(A1314,Assets!$B$7:$C$11,2,TRUE)</f>
        <v>26 to 35 years old</v>
      </c>
      <c r="AK1314" t="str">
        <f>VLOOKUP(S1314,Assets!$B$11:$C$26,2,TRUE)</f>
        <v>Up to $3.000</v>
      </c>
    </row>
    <row r="1315" spans="1:37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VLOOKUP(A1315,Assets!$B$7:$C$11,2,TRUE)</f>
        <v>26 to 35 years old</v>
      </c>
      <c r="AK1315" t="str">
        <f>VLOOKUP(S1315,Assets!$B$11:$C$26,2,TRUE)</f>
        <v>Up to $3.000</v>
      </c>
    </row>
    <row r="1316" spans="1:37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VLOOKUP(A1316,Assets!$B$7:$C$11,2,TRUE)</f>
        <v>36 to 45 years old</v>
      </c>
      <c r="AK1316" t="str">
        <f>VLOOKUP(S1316,Assets!$B$11:$C$26,2,TRUE)</f>
        <v>$3.001 to $7.000</v>
      </c>
    </row>
    <row r="1317" spans="1:37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VLOOKUP(A1317,Assets!$B$7:$C$11,2,TRUE)</f>
        <v>36 to 45 years old</v>
      </c>
      <c r="AK1317" t="str">
        <f>VLOOKUP(S1317,Assets!$B$11:$C$26,2,TRUE)</f>
        <v>$3.001 to $7.000</v>
      </c>
    </row>
    <row r="1318" spans="1:37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VLOOKUP(A1318,Assets!$B$7:$C$11,2,TRUE)</f>
        <v>36 to 45 years old</v>
      </c>
      <c r="AK1318" t="str">
        <f>VLOOKUP(S1318,Assets!$B$11:$C$26,2,TRUE)</f>
        <v>$3.001 to $7.000</v>
      </c>
    </row>
    <row r="1319" spans="1:37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VLOOKUP(A1319,Assets!$B$7:$C$11,2,TRUE)</f>
        <v>26 to 35 years old</v>
      </c>
      <c r="AK1319" t="str">
        <f>VLOOKUP(S1319,Assets!$B$11:$C$26,2,TRUE)</f>
        <v>Up to $3.000</v>
      </c>
    </row>
    <row r="1320" spans="1:37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VLOOKUP(A1320,Assets!$B$7:$C$11,2,TRUE)</f>
        <v>26 to 35 years old</v>
      </c>
      <c r="AK1320" t="str">
        <f>VLOOKUP(S1320,Assets!$B$11:$C$26,2,TRUE)</f>
        <v>$3.001 to $7.000</v>
      </c>
    </row>
    <row r="1321" spans="1:37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VLOOKUP(A1321,Assets!$B$7:$C$11,2,TRUE)</f>
        <v>26 to 35 years old</v>
      </c>
      <c r="AK1321" t="str">
        <f>VLOOKUP(S1321,Assets!$B$11:$C$26,2,TRUE)</f>
        <v>$3.001 to $7.000</v>
      </c>
    </row>
    <row r="1322" spans="1:37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VLOOKUP(A1322,Assets!$B$7:$C$11,2,TRUE)</f>
        <v>36 to 45 years old</v>
      </c>
      <c r="AK1322" t="str">
        <f>VLOOKUP(S1322,Assets!$B$11:$C$26,2,TRUE)</f>
        <v>Up to $3.000</v>
      </c>
    </row>
    <row r="1323" spans="1:37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VLOOKUP(A1323,Assets!$B$7:$C$11,2,TRUE)</f>
        <v>46 to 55 years old</v>
      </c>
      <c r="AK1323" t="str">
        <f>VLOOKUP(S1323,Assets!$B$11:$C$26,2,TRUE)</f>
        <v>Up to $3.000</v>
      </c>
    </row>
    <row r="1324" spans="1:37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VLOOKUP(A1324,Assets!$B$7:$C$11,2,TRUE)</f>
        <v>46 to 55 years old</v>
      </c>
      <c r="AK1324" t="str">
        <f>VLOOKUP(S1324,Assets!$B$11:$C$26,2,TRUE)</f>
        <v>$7.001 to $12.000</v>
      </c>
    </row>
    <row r="1325" spans="1:37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VLOOKUP(A1325,Assets!$B$7:$C$11,2,TRUE)</f>
        <v>26 to 35 years old</v>
      </c>
      <c r="AK1325" t="str">
        <f>VLOOKUP(S1325,Assets!$B$11:$C$26,2,TRUE)</f>
        <v>Up to $3.000</v>
      </c>
    </row>
    <row r="1326" spans="1:37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VLOOKUP(A1326,Assets!$B$7:$C$11,2,TRUE)</f>
        <v>26 to 35 years old</v>
      </c>
      <c r="AK1326" t="str">
        <f>VLOOKUP(S1326,Assets!$B$11:$C$26,2,TRUE)</f>
        <v>$3.001 to $7.000</v>
      </c>
    </row>
    <row r="1327" spans="1:37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VLOOKUP(A1327,Assets!$B$7:$C$11,2,TRUE)</f>
        <v>36 to 45 years old</v>
      </c>
      <c r="AK1327" t="str">
        <f>VLOOKUP(S1327,Assets!$B$11:$C$26,2,TRUE)</f>
        <v>$3.001 to $7.000</v>
      </c>
    </row>
    <row r="1328" spans="1:37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VLOOKUP(A1328,Assets!$B$7:$C$11,2,TRUE)</f>
        <v>26 to 35 years old</v>
      </c>
      <c r="AK1328" t="str">
        <f>VLOOKUP(S1328,Assets!$B$11:$C$26,2,TRUE)</f>
        <v>$7.001 to $12.000</v>
      </c>
    </row>
    <row r="1329" spans="1:37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VLOOKUP(A1329,Assets!$B$7:$C$11,2,TRUE)</f>
        <v>46 to 55 years old</v>
      </c>
      <c r="AK1329" t="str">
        <f>VLOOKUP(S1329,Assets!$B$11:$C$26,2,TRUE)</f>
        <v>Over $12.000</v>
      </c>
    </row>
    <row r="1330" spans="1:37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VLOOKUP(A1330,Assets!$B$7:$C$11,2,TRUE)</f>
        <v>26 to 35 years old</v>
      </c>
      <c r="AK1330" t="str">
        <f>VLOOKUP(S1330,Assets!$B$11:$C$26,2,TRUE)</f>
        <v>$3.001 to $7.000</v>
      </c>
    </row>
    <row r="1331" spans="1:37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VLOOKUP(A1331,Assets!$B$7:$C$11,2,TRUE)</f>
        <v>26 to 35 years old</v>
      </c>
      <c r="AK1331" t="str">
        <f>VLOOKUP(S1331,Assets!$B$11:$C$26,2,TRUE)</f>
        <v>Up to $3.000</v>
      </c>
    </row>
    <row r="1332" spans="1:37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VLOOKUP(A1332,Assets!$B$7:$C$11,2,TRUE)</f>
        <v>36 to 45 years old</v>
      </c>
      <c r="AK1332" t="str">
        <f>VLOOKUP(S1332,Assets!$B$11:$C$26,2,TRUE)</f>
        <v>Over $12.000</v>
      </c>
    </row>
    <row r="1333" spans="1:37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VLOOKUP(A1333,Assets!$B$7:$C$11,2,TRUE)</f>
        <v>46 to 55 years old</v>
      </c>
      <c r="AK1333" t="str">
        <f>VLOOKUP(S1333,Assets!$B$11:$C$26,2,TRUE)</f>
        <v>Over $12.000</v>
      </c>
    </row>
    <row r="1334" spans="1:37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VLOOKUP(A1334,Assets!$B$7:$C$11,2,TRUE)</f>
        <v>26 to 35 years old</v>
      </c>
      <c r="AK1334" t="str">
        <f>VLOOKUP(S1334,Assets!$B$11:$C$26,2,TRUE)</f>
        <v>Up to $3.000</v>
      </c>
    </row>
    <row r="1335" spans="1:37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VLOOKUP(A1335,Assets!$B$7:$C$11,2,TRUE)</f>
        <v>46 to 55 years old</v>
      </c>
      <c r="AK1335" t="str">
        <f>VLOOKUP(S1335,Assets!$B$11:$C$26,2,TRUE)</f>
        <v>$7.001 to $12.000</v>
      </c>
    </row>
    <row r="1336" spans="1:37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VLOOKUP(A1336,Assets!$B$7:$C$11,2,TRUE)</f>
        <v>26 to 35 years old</v>
      </c>
      <c r="AK1336" t="str">
        <f>VLOOKUP(S1336,Assets!$B$11:$C$26,2,TRUE)</f>
        <v>$3.001 to $7.000</v>
      </c>
    </row>
    <row r="1337" spans="1:37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VLOOKUP(A1337,Assets!$B$7:$C$11,2,TRUE)</f>
        <v>36 to 45 years old</v>
      </c>
      <c r="AK1337" t="str">
        <f>VLOOKUP(S1337,Assets!$B$11:$C$26,2,TRUE)</f>
        <v>$3.001 to $7.000</v>
      </c>
    </row>
    <row r="1338" spans="1:37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VLOOKUP(A1338,Assets!$B$7:$C$11,2,TRUE)</f>
        <v>46 to 55 years old</v>
      </c>
      <c r="AK1338" t="str">
        <f>VLOOKUP(S1338,Assets!$B$11:$C$26,2,TRUE)</f>
        <v>Up to $3.000</v>
      </c>
    </row>
    <row r="1339" spans="1:37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VLOOKUP(A1339,Assets!$B$7:$C$11,2,TRUE)</f>
        <v>26 to 35 years old</v>
      </c>
      <c r="AK1339" t="str">
        <f>VLOOKUP(S1339,Assets!$B$11:$C$26,2,TRUE)</f>
        <v>Up to $3.000</v>
      </c>
    </row>
    <row r="1340" spans="1:37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VLOOKUP(A1340,Assets!$B$7:$C$11,2,TRUE)</f>
        <v>26 to 35 years old</v>
      </c>
      <c r="AK1340" t="str">
        <f>VLOOKUP(S1340,Assets!$B$11:$C$26,2,TRUE)</f>
        <v>Up to $3.000</v>
      </c>
    </row>
    <row r="1341" spans="1:37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VLOOKUP(A1341,Assets!$B$7:$C$11,2,TRUE)</f>
        <v>18 to 25 years old</v>
      </c>
      <c r="AK1341" t="str">
        <f>VLOOKUP(S1341,Assets!$B$11:$C$26,2,TRUE)</f>
        <v>Up to $3.000</v>
      </c>
    </row>
    <row r="1342" spans="1:37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VLOOKUP(A1342,Assets!$B$7:$C$11,2,TRUE)</f>
        <v>36 to 45 years old</v>
      </c>
      <c r="AK1342" t="str">
        <f>VLOOKUP(S1342,Assets!$B$11:$C$26,2,TRUE)</f>
        <v>$3.001 to $7.000</v>
      </c>
    </row>
    <row r="1343" spans="1:37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VLOOKUP(A1343,Assets!$B$7:$C$11,2,TRUE)</f>
        <v>26 to 35 years old</v>
      </c>
      <c r="AK1343" t="str">
        <f>VLOOKUP(S1343,Assets!$B$11:$C$26,2,TRUE)</f>
        <v>$3.001 to $7.000</v>
      </c>
    </row>
    <row r="1344" spans="1:37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VLOOKUP(A1344,Assets!$B$7:$C$11,2,TRUE)</f>
        <v>26 to 35 years old</v>
      </c>
      <c r="AK1344" t="str">
        <f>VLOOKUP(S1344,Assets!$B$11:$C$26,2,TRUE)</f>
        <v>$7.001 to $12.000</v>
      </c>
    </row>
    <row r="1345" spans="1:37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VLOOKUP(A1345,Assets!$B$7:$C$11,2,TRUE)</f>
        <v>26 to 35 years old</v>
      </c>
      <c r="AK1345" t="str">
        <f>VLOOKUP(S1345,Assets!$B$11:$C$26,2,TRUE)</f>
        <v>Up to $3.000</v>
      </c>
    </row>
    <row r="1346" spans="1:37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VLOOKUP(A1346,Assets!$B$7:$C$11,2,TRUE)</f>
        <v>36 to 45 years old</v>
      </c>
      <c r="AK1346" t="str">
        <f>VLOOKUP(S1346,Assets!$B$11:$C$26,2,TRUE)</f>
        <v>$3.001 to $7.000</v>
      </c>
    </row>
    <row r="1347" spans="1:37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VLOOKUP(A1347,Assets!$B$7:$C$11,2,TRUE)</f>
        <v>26 to 35 years old</v>
      </c>
      <c r="AK1347" t="str">
        <f>VLOOKUP(S1347,Assets!$B$11:$C$26,2,TRUE)</f>
        <v>$3.001 to $7.000</v>
      </c>
    </row>
    <row r="1348" spans="1:37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VLOOKUP(A1348,Assets!$B$7:$C$11,2,TRUE)</f>
        <v>36 to 45 years old</v>
      </c>
      <c r="AK1348" t="str">
        <f>VLOOKUP(S1348,Assets!$B$11:$C$26,2,TRUE)</f>
        <v>$3.001 to $7.000</v>
      </c>
    </row>
    <row r="1349" spans="1:37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VLOOKUP(A1349,Assets!$B$7:$C$11,2,TRUE)</f>
        <v>36 to 45 years old</v>
      </c>
      <c r="AK1349" t="str">
        <f>VLOOKUP(S1349,Assets!$B$11:$C$26,2,TRUE)</f>
        <v>$3.001 to $7.000</v>
      </c>
    </row>
    <row r="1350" spans="1:37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VLOOKUP(A1350,Assets!$B$7:$C$11,2,TRUE)</f>
        <v>36 to 45 years old</v>
      </c>
      <c r="AK1350" t="str">
        <f>VLOOKUP(S1350,Assets!$B$11:$C$26,2,TRUE)</f>
        <v>Over $12.000</v>
      </c>
    </row>
    <row r="1351" spans="1:37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VLOOKUP(A1351,Assets!$B$7:$C$11,2,TRUE)</f>
        <v>26 to 35 years old</v>
      </c>
      <c r="AK1351" t="str">
        <f>VLOOKUP(S1351,Assets!$B$11:$C$26,2,TRUE)</f>
        <v>Up to $3.000</v>
      </c>
    </row>
    <row r="1352" spans="1:37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VLOOKUP(A1352,Assets!$B$7:$C$11,2,TRUE)</f>
        <v>26 to 35 years old</v>
      </c>
      <c r="AK1352" t="str">
        <f>VLOOKUP(S1352,Assets!$B$11:$C$26,2,TRUE)</f>
        <v>$3.001 to $7.000</v>
      </c>
    </row>
    <row r="1353" spans="1:37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VLOOKUP(A1353,Assets!$B$7:$C$11,2,TRUE)</f>
        <v>46 to 55 years old</v>
      </c>
      <c r="AK1353" t="str">
        <f>VLOOKUP(S1353,Assets!$B$11:$C$26,2,TRUE)</f>
        <v>Over $12.000</v>
      </c>
    </row>
    <row r="1354" spans="1:37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VLOOKUP(A1354,Assets!$B$7:$C$11,2,TRUE)</f>
        <v>36 to 45 years old</v>
      </c>
      <c r="AK1354" t="str">
        <f>VLOOKUP(S1354,Assets!$B$11:$C$26,2,TRUE)</f>
        <v>$3.001 to $7.000</v>
      </c>
    </row>
    <row r="1355" spans="1:37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VLOOKUP(A1355,Assets!$B$7:$C$11,2,TRUE)</f>
        <v>26 to 35 years old</v>
      </c>
      <c r="AK1355" t="str">
        <f>VLOOKUP(S1355,Assets!$B$11:$C$26,2,TRUE)</f>
        <v>Up to $3.000</v>
      </c>
    </row>
    <row r="1356" spans="1:37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VLOOKUP(A1356,Assets!$B$7:$C$11,2,TRUE)</f>
        <v>56 years or older</v>
      </c>
      <c r="AK1356" t="str">
        <f>VLOOKUP(S1356,Assets!$B$11:$C$26,2,TRUE)</f>
        <v>Up to $3.000</v>
      </c>
    </row>
    <row r="1357" spans="1:37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VLOOKUP(A1357,Assets!$B$7:$C$11,2,TRUE)</f>
        <v>36 to 45 years old</v>
      </c>
      <c r="AK1357" t="str">
        <f>VLOOKUP(S1357,Assets!$B$11:$C$26,2,TRUE)</f>
        <v>$3.001 to $7.000</v>
      </c>
    </row>
    <row r="1358" spans="1:37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VLOOKUP(A1358,Assets!$B$7:$C$11,2,TRUE)</f>
        <v>36 to 45 years old</v>
      </c>
      <c r="AK1358" t="str">
        <f>VLOOKUP(S1358,Assets!$B$11:$C$26,2,TRUE)</f>
        <v>$3.001 to $7.000</v>
      </c>
    </row>
    <row r="1359" spans="1:37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VLOOKUP(A1359,Assets!$B$7:$C$11,2,TRUE)</f>
        <v>36 to 45 years old</v>
      </c>
      <c r="AK1359" t="str">
        <f>VLOOKUP(S1359,Assets!$B$11:$C$26,2,TRUE)</f>
        <v>Over $12.000</v>
      </c>
    </row>
    <row r="1360" spans="1:37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VLOOKUP(A1360,Assets!$B$7:$C$11,2,TRUE)</f>
        <v>26 to 35 years old</v>
      </c>
      <c r="AK1360" t="str">
        <f>VLOOKUP(S1360,Assets!$B$11:$C$26,2,TRUE)</f>
        <v>$3.001 to $7.000</v>
      </c>
    </row>
    <row r="1361" spans="1:37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VLOOKUP(A1361,Assets!$B$7:$C$11,2,TRUE)</f>
        <v>26 to 35 years old</v>
      </c>
      <c r="AK1361" t="str">
        <f>VLOOKUP(S1361,Assets!$B$11:$C$26,2,TRUE)</f>
        <v>$7.001 to $12.000</v>
      </c>
    </row>
    <row r="1362" spans="1:37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VLOOKUP(A1362,Assets!$B$7:$C$11,2,TRUE)</f>
        <v>26 to 35 years old</v>
      </c>
      <c r="AK1362" t="str">
        <f>VLOOKUP(S1362,Assets!$B$11:$C$26,2,TRUE)</f>
        <v>$3.001 to $7.000</v>
      </c>
    </row>
    <row r="1363" spans="1:37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VLOOKUP(A1363,Assets!$B$7:$C$11,2,TRUE)</f>
        <v>26 to 35 years old</v>
      </c>
      <c r="AK1363" t="str">
        <f>VLOOKUP(S1363,Assets!$B$11:$C$26,2,TRUE)</f>
        <v>Up to $3.000</v>
      </c>
    </row>
    <row r="1364" spans="1:37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VLOOKUP(A1364,Assets!$B$7:$C$11,2,TRUE)</f>
        <v>36 to 45 years old</v>
      </c>
      <c r="AK1364" t="str">
        <f>VLOOKUP(S1364,Assets!$B$11:$C$26,2,TRUE)</f>
        <v>$3.001 to $7.000</v>
      </c>
    </row>
    <row r="1365" spans="1:37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VLOOKUP(A1365,Assets!$B$7:$C$11,2,TRUE)</f>
        <v>26 to 35 years old</v>
      </c>
      <c r="AK1365" t="str">
        <f>VLOOKUP(S1365,Assets!$B$11:$C$26,2,TRUE)</f>
        <v>$3.001 to $7.000</v>
      </c>
    </row>
    <row r="1366" spans="1:37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VLOOKUP(A1366,Assets!$B$7:$C$11,2,TRUE)</f>
        <v>26 to 35 years old</v>
      </c>
      <c r="AK1366" t="str">
        <f>VLOOKUP(S1366,Assets!$B$11:$C$26,2,TRUE)</f>
        <v>$3.001 to $7.000</v>
      </c>
    </row>
    <row r="1367" spans="1:37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VLOOKUP(A1367,Assets!$B$7:$C$11,2,TRUE)</f>
        <v>26 to 35 years old</v>
      </c>
      <c r="AK1367" t="str">
        <f>VLOOKUP(S1367,Assets!$B$11:$C$26,2,TRUE)</f>
        <v>Up to $3.000</v>
      </c>
    </row>
    <row r="1368" spans="1:37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VLOOKUP(A1368,Assets!$B$7:$C$11,2,TRUE)</f>
        <v>36 to 45 years old</v>
      </c>
      <c r="AK1368" t="str">
        <f>VLOOKUP(S1368,Assets!$B$11:$C$26,2,TRUE)</f>
        <v>$3.001 to $7.000</v>
      </c>
    </row>
    <row r="1369" spans="1:37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VLOOKUP(A1369,Assets!$B$7:$C$11,2,TRUE)</f>
        <v>26 to 35 years old</v>
      </c>
      <c r="AK1369" t="str">
        <f>VLOOKUP(S1369,Assets!$B$11:$C$26,2,TRUE)</f>
        <v>Up to $3.000</v>
      </c>
    </row>
    <row r="1370" spans="1:37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VLOOKUP(A1370,Assets!$B$7:$C$11,2,TRUE)</f>
        <v>26 to 35 years old</v>
      </c>
      <c r="AK1370" t="str">
        <f>VLOOKUP(S1370,Assets!$B$11:$C$26,2,TRUE)</f>
        <v>$3.001 to $7.000</v>
      </c>
    </row>
    <row r="1371" spans="1:37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VLOOKUP(A1371,Assets!$B$7:$C$11,2,TRUE)</f>
        <v>26 to 35 years old</v>
      </c>
      <c r="AK1371" t="str">
        <f>VLOOKUP(S1371,Assets!$B$11:$C$26,2,TRUE)</f>
        <v>$7.001 to $12.000</v>
      </c>
    </row>
    <row r="1372" spans="1:37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VLOOKUP(A1372,Assets!$B$7:$C$11,2,TRUE)</f>
        <v>46 to 55 years old</v>
      </c>
      <c r="AK1372" t="str">
        <f>VLOOKUP(S1372,Assets!$B$11:$C$26,2,TRUE)</f>
        <v>$3.001 to $7.000</v>
      </c>
    </row>
    <row r="1373" spans="1:37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VLOOKUP(A1373,Assets!$B$7:$C$11,2,TRUE)</f>
        <v>56 years or older</v>
      </c>
      <c r="AK1373" t="str">
        <f>VLOOKUP(S1373,Assets!$B$11:$C$26,2,TRUE)</f>
        <v>$3.001 to $7.000</v>
      </c>
    </row>
    <row r="1374" spans="1:37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VLOOKUP(A1374,Assets!$B$7:$C$11,2,TRUE)</f>
        <v>36 to 45 years old</v>
      </c>
      <c r="AK1374" t="str">
        <f>VLOOKUP(S1374,Assets!$B$11:$C$26,2,TRUE)</f>
        <v>$3.001 to $7.000</v>
      </c>
    </row>
    <row r="1375" spans="1:37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VLOOKUP(A1375,Assets!$B$7:$C$11,2,TRUE)</f>
        <v>36 to 45 years old</v>
      </c>
      <c r="AK1375" t="str">
        <f>VLOOKUP(S1375,Assets!$B$11:$C$26,2,TRUE)</f>
        <v>Up to $3.000</v>
      </c>
    </row>
    <row r="1376" spans="1:37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VLOOKUP(A1376,Assets!$B$7:$C$11,2,TRUE)</f>
        <v>56 years or older</v>
      </c>
      <c r="AK1376" t="str">
        <f>VLOOKUP(S1376,Assets!$B$11:$C$26,2,TRUE)</f>
        <v>Over $12.000</v>
      </c>
    </row>
    <row r="1377" spans="1:37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VLOOKUP(A1377,Assets!$B$7:$C$11,2,TRUE)</f>
        <v>26 to 35 years old</v>
      </c>
      <c r="AK1377" t="str">
        <f>VLOOKUP(S1377,Assets!$B$11:$C$26,2,TRUE)</f>
        <v>Up to $3.000</v>
      </c>
    </row>
    <row r="1378" spans="1:37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VLOOKUP(A1378,Assets!$B$7:$C$11,2,TRUE)</f>
        <v>36 to 45 years old</v>
      </c>
      <c r="AK1378" t="str">
        <f>VLOOKUP(S1378,Assets!$B$11:$C$26,2,TRUE)</f>
        <v>$3.001 to $7.000</v>
      </c>
    </row>
    <row r="1379" spans="1:37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VLOOKUP(A1379,Assets!$B$7:$C$11,2,TRUE)</f>
        <v>46 to 55 years old</v>
      </c>
      <c r="AK1379" t="str">
        <f>VLOOKUP(S1379,Assets!$B$11:$C$26,2,TRUE)</f>
        <v>Over $12.000</v>
      </c>
    </row>
    <row r="1380" spans="1:37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VLOOKUP(A1380,Assets!$B$7:$C$11,2,TRUE)</f>
        <v>36 to 45 years old</v>
      </c>
      <c r="AK1380" t="str">
        <f>VLOOKUP(S1380,Assets!$B$11:$C$26,2,TRUE)</f>
        <v>$3.001 to $7.000</v>
      </c>
    </row>
    <row r="1381" spans="1:37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VLOOKUP(A1381,Assets!$B$7:$C$11,2,TRUE)</f>
        <v>26 to 35 years old</v>
      </c>
      <c r="AK1381" t="str">
        <f>VLOOKUP(S1381,Assets!$B$11:$C$26,2,TRUE)</f>
        <v>Up to $3.000</v>
      </c>
    </row>
    <row r="1382" spans="1:37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VLOOKUP(A1382,Assets!$B$7:$C$11,2,TRUE)</f>
        <v>26 to 35 years old</v>
      </c>
      <c r="AK1382" t="str">
        <f>VLOOKUP(S1382,Assets!$B$11:$C$26,2,TRUE)</f>
        <v>$3.001 to $7.000</v>
      </c>
    </row>
    <row r="1383" spans="1:37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VLOOKUP(A1383,Assets!$B$7:$C$11,2,TRUE)</f>
        <v>26 to 35 years old</v>
      </c>
      <c r="AK1383" t="str">
        <f>VLOOKUP(S1383,Assets!$B$11:$C$26,2,TRUE)</f>
        <v>Up to $3.000</v>
      </c>
    </row>
    <row r="1384" spans="1:37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VLOOKUP(A1384,Assets!$B$7:$C$11,2,TRUE)</f>
        <v>26 to 35 years old</v>
      </c>
      <c r="AK1384" t="str">
        <f>VLOOKUP(S1384,Assets!$B$11:$C$26,2,TRUE)</f>
        <v>$3.001 to $7.000</v>
      </c>
    </row>
    <row r="1385" spans="1:37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VLOOKUP(A1385,Assets!$B$7:$C$11,2,TRUE)</f>
        <v>36 to 45 years old</v>
      </c>
      <c r="AK1385" t="str">
        <f>VLOOKUP(S1385,Assets!$B$11:$C$26,2,TRUE)</f>
        <v>Up to $3.000</v>
      </c>
    </row>
    <row r="1386" spans="1:37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VLOOKUP(A1386,Assets!$B$7:$C$11,2,TRUE)</f>
        <v>26 to 35 years old</v>
      </c>
      <c r="AK1386" t="str">
        <f>VLOOKUP(S1386,Assets!$B$11:$C$26,2,TRUE)</f>
        <v>$7.001 to $12.000</v>
      </c>
    </row>
    <row r="1387" spans="1:37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VLOOKUP(A1387,Assets!$B$7:$C$11,2,TRUE)</f>
        <v>26 to 35 years old</v>
      </c>
      <c r="AK1387" t="str">
        <f>VLOOKUP(S1387,Assets!$B$11:$C$26,2,TRUE)</f>
        <v>$7.001 to $12.000</v>
      </c>
    </row>
    <row r="1388" spans="1:37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VLOOKUP(A1388,Assets!$B$7:$C$11,2,TRUE)</f>
        <v>26 to 35 years old</v>
      </c>
      <c r="AK1388" t="str">
        <f>VLOOKUP(S1388,Assets!$B$11:$C$26,2,TRUE)</f>
        <v>Up to $3.000</v>
      </c>
    </row>
    <row r="1389" spans="1:37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VLOOKUP(A1389,Assets!$B$7:$C$11,2,TRUE)</f>
        <v>26 to 35 years old</v>
      </c>
      <c r="AK1389" t="str">
        <f>VLOOKUP(S1389,Assets!$B$11:$C$26,2,TRUE)</f>
        <v>$3.001 to $7.000</v>
      </c>
    </row>
    <row r="1390" spans="1:37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VLOOKUP(A1390,Assets!$B$7:$C$11,2,TRUE)</f>
        <v>26 to 35 years old</v>
      </c>
      <c r="AK1390" t="str">
        <f>VLOOKUP(S1390,Assets!$B$11:$C$26,2,TRUE)</f>
        <v>$3.001 to $7.000</v>
      </c>
    </row>
    <row r="1391" spans="1:37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VLOOKUP(A1391,Assets!$B$7:$C$11,2,TRUE)</f>
        <v>26 to 35 years old</v>
      </c>
      <c r="AK1391" t="str">
        <f>VLOOKUP(S1391,Assets!$B$11:$C$26,2,TRUE)</f>
        <v>$3.001 to $7.000</v>
      </c>
    </row>
    <row r="1392" spans="1:37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VLOOKUP(A1392,Assets!$B$7:$C$11,2,TRUE)</f>
        <v>26 to 35 years old</v>
      </c>
      <c r="AK1392" t="str">
        <f>VLOOKUP(S1392,Assets!$B$11:$C$26,2,TRUE)</f>
        <v>Up to $3.000</v>
      </c>
    </row>
    <row r="1393" spans="1:37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VLOOKUP(A1393,Assets!$B$7:$C$11,2,TRUE)</f>
        <v>36 to 45 years old</v>
      </c>
      <c r="AK1393" t="str">
        <f>VLOOKUP(S1393,Assets!$B$11:$C$26,2,TRUE)</f>
        <v>Up to $3.000</v>
      </c>
    </row>
    <row r="1394" spans="1:37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VLOOKUP(A1394,Assets!$B$7:$C$11,2,TRUE)</f>
        <v>26 to 35 years old</v>
      </c>
      <c r="AK1394" t="str">
        <f>VLOOKUP(S1394,Assets!$B$11:$C$26,2,TRUE)</f>
        <v>$3.001 to $7.000</v>
      </c>
    </row>
    <row r="1395" spans="1:37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VLOOKUP(A1395,Assets!$B$7:$C$11,2,TRUE)</f>
        <v>26 to 35 years old</v>
      </c>
      <c r="AK1395" t="str">
        <f>VLOOKUP(S1395,Assets!$B$11:$C$26,2,TRUE)</f>
        <v>$3.001 to $7.000</v>
      </c>
    </row>
    <row r="1396" spans="1:37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VLOOKUP(A1396,Assets!$B$7:$C$11,2,TRUE)</f>
        <v>26 to 35 years old</v>
      </c>
      <c r="AK1396" t="str">
        <f>VLOOKUP(S1396,Assets!$B$11:$C$26,2,TRUE)</f>
        <v>$7.001 to $12.000</v>
      </c>
    </row>
    <row r="1397" spans="1:37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VLOOKUP(A1397,Assets!$B$7:$C$11,2,TRUE)</f>
        <v>26 to 35 years old</v>
      </c>
      <c r="AK1397" t="str">
        <f>VLOOKUP(S1397,Assets!$B$11:$C$26,2,TRUE)</f>
        <v>$3.001 to $7.000</v>
      </c>
    </row>
    <row r="1398" spans="1:37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VLOOKUP(A1398,Assets!$B$7:$C$11,2,TRUE)</f>
        <v>46 to 55 years old</v>
      </c>
      <c r="AK1398" t="str">
        <f>VLOOKUP(S1398,Assets!$B$11:$C$26,2,TRUE)</f>
        <v>$7.001 to $12.000</v>
      </c>
    </row>
    <row r="1399" spans="1:37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VLOOKUP(A1399,Assets!$B$7:$C$11,2,TRUE)</f>
        <v>46 to 55 years old</v>
      </c>
      <c r="AK1399" t="str">
        <f>VLOOKUP(S1399,Assets!$B$11:$C$26,2,TRUE)</f>
        <v>Up to $3.000</v>
      </c>
    </row>
    <row r="1400" spans="1:37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VLOOKUP(A1400,Assets!$B$7:$C$11,2,TRUE)</f>
        <v>26 to 35 years old</v>
      </c>
      <c r="AK1400" t="str">
        <f>VLOOKUP(S1400,Assets!$B$11:$C$26,2,TRUE)</f>
        <v>$3.001 to $7.000</v>
      </c>
    </row>
    <row r="1401" spans="1:37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VLOOKUP(A1401,Assets!$B$7:$C$11,2,TRUE)</f>
        <v>36 to 45 years old</v>
      </c>
      <c r="AK1401" t="str">
        <f>VLOOKUP(S1401,Assets!$B$11:$C$26,2,TRUE)</f>
        <v>$7.001 to $12.000</v>
      </c>
    </row>
    <row r="1402" spans="1:37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VLOOKUP(A1402,Assets!$B$7:$C$11,2,TRUE)</f>
        <v>36 to 45 years old</v>
      </c>
      <c r="AK1402" t="str">
        <f>VLOOKUP(S1402,Assets!$B$11:$C$26,2,TRUE)</f>
        <v>Up to $3.000</v>
      </c>
    </row>
    <row r="1403" spans="1:37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VLOOKUP(A1403,Assets!$B$7:$C$11,2,TRUE)</f>
        <v>46 to 55 years old</v>
      </c>
      <c r="AK1403" t="str">
        <f>VLOOKUP(S1403,Assets!$B$11:$C$26,2,TRUE)</f>
        <v>Over $12.000</v>
      </c>
    </row>
    <row r="1404" spans="1:37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VLOOKUP(A1404,Assets!$B$7:$C$11,2,TRUE)</f>
        <v>26 to 35 years old</v>
      </c>
      <c r="AK1404" t="str">
        <f>VLOOKUP(S1404,Assets!$B$11:$C$26,2,TRUE)</f>
        <v>Up to $3.000</v>
      </c>
    </row>
    <row r="1405" spans="1:37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VLOOKUP(A1405,Assets!$B$7:$C$11,2,TRUE)</f>
        <v>36 to 45 years old</v>
      </c>
      <c r="AK1405" t="str">
        <f>VLOOKUP(S1405,Assets!$B$11:$C$26,2,TRUE)</f>
        <v>Over $12.000</v>
      </c>
    </row>
    <row r="1406" spans="1:37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VLOOKUP(A1406,Assets!$B$7:$C$11,2,TRUE)</f>
        <v>36 to 45 years old</v>
      </c>
      <c r="AK1406" t="str">
        <f>VLOOKUP(S1406,Assets!$B$11:$C$26,2,TRUE)</f>
        <v>$3.001 to $7.000</v>
      </c>
    </row>
    <row r="1407" spans="1:37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VLOOKUP(A1407,Assets!$B$7:$C$11,2,TRUE)</f>
        <v>26 to 35 years old</v>
      </c>
      <c r="AK1407" t="str">
        <f>VLOOKUP(S1407,Assets!$B$11:$C$26,2,TRUE)</f>
        <v>$7.001 to $12.000</v>
      </c>
    </row>
    <row r="1408" spans="1:37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VLOOKUP(A1408,Assets!$B$7:$C$11,2,TRUE)</f>
        <v>46 to 55 years old</v>
      </c>
      <c r="AK1408" t="str">
        <f>VLOOKUP(S1408,Assets!$B$11:$C$26,2,TRUE)</f>
        <v>$3.001 to $7.000</v>
      </c>
    </row>
    <row r="1409" spans="1:37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VLOOKUP(A1409,Assets!$B$7:$C$11,2,TRUE)</f>
        <v>18 to 25 years old</v>
      </c>
      <c r="AK1409" t="str">
        <f>VLOOKUP(S1409,Assets!$B$11:$C$26,2,TRUE)</f>
        <v>$3.001 to $7.000</v>
      </c>
    </row>
    <row r="1410" spans="1:37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VLOOKUP(A1410,Assets!$B$7:$C$11,2,TRUE)</f>
        <v>18 to 25 years old</v>
      </c>
      <c r="AK1410" t="str">
        <f>VLOOKUP(S1410,Assets!$B$11:$C$26,2,TRUE)</f>
        <v>Up to $3.000</v>
      </c>
    </row>
    <row r="1411" spans="1:37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VLOOKUP(A1411,Assets!$B$7:$C$11,2,TRUE)</f>
        <v>36 to 45 years old</v>
      </c>
      <c r="AK1411" t="str">
        <f>VLOOKUP(S1411,Assets!$B$11:$C$26,2,TRUE)</f>
        <v>$3.001 to $7.000</v>
      </c>
    </row>
    <row r="1412" spans="1:37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VLOOKUP(A1412,Assets!$B$7:$C$11,2,TRUE)</f>
        <v>36 to 45 years old</v>
      </c>
      <c r="AK1412" t="str">
        <f>VLOOKUP(S1412,Assets!$B$11:$C$26,2,TRUE)</f>
        <v>$3.001 to $7.000</v>
      </c>
    </row>
    <row r="1413" spans="1:37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VLOOKUP(A1413,Assets!$B$7:$C$11,2,TRUE)</f>
        <v>18 to 25 years old</v>
      </c>
      <c r="AK1413" t="str">
        <f>VLOOKUP(S1413,Assets!$B$11:$C$26,2,TRUE)</f>
        <v>Up to $3.000</v>
      </c>
    </row>
    <row r="1414" spans="1:37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VLOOKUP(A1414,Assets!$B$7:$C$11,2,TRUE)</f>
        <v>26 to 35 years old</v>
      </c>
      <c r="AK1414" t="str">
        <f>VLOOKUP(S1414,Assets!$B$11:$C$26,2,TRUE)</f>
        <v>$3.001 to $7.000</v>
      </c>
    </row>
    <row r="1415" spans="1:37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VLOOKUP(A1415,Assets!$B$7:$C$11,2,TRUE)</f>
        <v>18 to 25 years old</v>
      </c>
      <c r="AK1415" t="str">
        <f>VLOOKUP(S1415,Assets!$B$11:$C$26,2,TRUE)</f>
        <v>$3.001 to $7.000</v>
      </c>
    </row>
    <row r="1416" spans="1:37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VLOOKUP(A1416,Assets!$B$7:$C$11,2,TRUE)</f>
        <v>46 to 55 years old</v>
      </c>
      <c r="AK1416" t="str">
        <f>VLOOKUP(S1416,Assets!$B$11:$C$26,2,TRUE)</f>
        <v>$7.001 to $12.000</v>
      </c>
    </row>
    <row r="1417" spans="1:37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VLOOKUP(A1417,Assets!$B$7:$C$11,2,TRUE)</f>
        <v>26 to 35 years old</v>
      </c>
      <c r="AK1417" t="str">
        <f>VLOOKUP(S1417,Assets!$B$11:$C$26,2,TRUE)</f>
        <v>Up to $3.000</v>
      </c>
    </row>
    <row r="1418" spans="1:37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VLOOKUP(A1418,Assets!$B$7:$C$11,2,TRUE)</f>
        <v>36 to 45 years old</v>
      </c>
      <c r="AK1418" t="str">
        <f>VLOOKUP(S1418,Assets!$B$11:$C$26,2,TRUE)</f>
        <v>$3.001 to $7.000</v>
      </c>
    </row>
    <row r="1419" spans="1:37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VLOOKUP(A1419,Assets!$B$7:$C$11,2,TRUE)</f>
        <v>26 to 35 years old</v>
      </c>
      <c r="AK1419" t="str">
        <f>VLOOKUP(S1419,Assets!$B$11:$C$26,2,TRUE)</f>
        <v>$3.001 to $7.000</v>
      </c>
    </row>
    <row r="1420" spans="1:37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VLOOKUP(A1420,Assets!$B$7:$C$11,2,TRUE)</f>
        <v>36 to 45 years old</v>
      </c>
      <c r="AK1420" t="str">
        <f>VLOOKUP(S1420,Assets!$B$11:$C$26,2,TRUE)</f>
        <v>$3.001 to $7.000</v>
      </c>
    </row>
    <row r="1421" spans="1:37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VLOOKUP(A1421,Assets!$B$7:$C$11,2,TRUE)</f>
        <v>36 to 45 years old</v>
      </c>
      <c r="AK1421" t="str">
        <f>VLOOKUP(S1421,Assets!$B$11:$C$26,2,TRUE)</f>
        <v>$3.001 to $7.000</v>
      </c>
    </row>
    <row r="1422" spans="1:37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VLOOKUP(A1422,Assets!$B$7:$C$11,2,TRUE)</f>
        <v>36 to 45 years old</v>
      </c>
      <c r="AK1422" t="str">
        <f>VLOOKUP(S1422,Assets!$B$11:$C$26,2,TRUE)</f>
        <v>Up to $3.000</v>
      </c>
    </row>
    <row r="1423" spans="1:37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VLOOKUP(A1423,Assets!$B$7:$C$11,2,TRUE)</f>
        <v>46 to 55 years old</v>
      </c>
      <c r="AK1423" t="str">
        <f>VLOOKUP(S1423,Assets!$B$11:$C$26,2,TRUE)</f>
        <v>$7.001 to $12.000</v>
      </c>
    </row>
    <row r="1424" spans="1:37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VLOOKUP(A1424,Assets!$B$7:$C$11,2,TRUE)</f>
        <v>26 to 35 years old</v>
      </c>
      <c r="AK1424" t="str">
        <f>VLOOKUP(S1424,Assets!$B$11:$C$26,2,TRUE)</f>
        <v>Up to $3.000</v>
      </c>
    </row>
    <row r="1425" spans="1:37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VLOOKUP(A1425,Assets!$B$7:$C$11,2,TRUE)</f>
        <v>18 to 25 years old</v>
      </c>
      <c r="AK1425" t="str">
        <f>VLOOKUP(S1425,Assets!$B$11:$C$26,2,TRUE)</f>
        <v>$3.001 to $7.000</v>
      </c>
    </row>
    <row r="1426" spans="1:37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VLOOKUP(A1426,Assets!$B$7:$C$11,2,TRUE)</f>
        <v>26 to 35 years old</v>
      </c>
      <c r="AK1426" t="str">
        <f>VLOOKUP(S1426,Assets!$B$11:$C$26,2,TRUE)</f>
        <v>$3.001 to $7.000</v>
      </c>
    </row>
    <row r="1427" spans="1:37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VLOOKUP(A1427,Assets!$B$7:$C$11,2,TRUE)</f>
        <v>26 to 35 years old</v>
      </c>
      <c r="AK1427" t="str">
        <f>VLOOKUP(S1427,Assets!$B$11:$C$26,2,TRUE)</f>
        <v>$3.001 to $7.000</v>
      </c>
    </row>
    <row r="1428" spans="1:37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VLOOKUP(A1428,Assets!$B$7:$C$11,2,TRUE)</f>
        <v>26 to 35 years old</v>
      </c>
      <c r="AK1428" t="str">
        <f>VLOOKUP(S1428,Assets!$B$11:$C$26,2,TRUE)</f>
        <v>Up to $3.000</v>
      </c>
    </row>
    <row r="1429" spans="1:37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VLOOKUP(A1429,Assets!$B$7:$C$11,2,TRUE)</f>
        <v>36 to 45 years old</v>
      </c>
      <c r="AK1429" t="str">
        <f>VLOOKUP(S1429,Assets!$B$11:$C$26,2,TRUE)</f>
        <v>Up to $3.000</v>
      </c>
    </row>
    <row r="1430" spans="1:37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VLOOKUP(A1430,Assets!$B$7:$C$11,2,TRUE)</f>
        <v>26 to 35 years old</v>
      </c>
      <c r="AK1430" t="str">
        <f>VLOOKUP(S1430,Assets!$B$11:$C$26,2,TRUE)</f>
        <v>Up to $3.000</v>
      </c>
    </row>
    <row r="1431" spans="1:37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VLOOKUP(A1431,Assets!$B$7:$C$11,2,TRUE)</f>
        <v>36 to 45 years old</v>
      </c>
      <c r="AK1431" t="str">
        <f>VLOOKUP(S1431,Assets!$B$11:$C$26,2,TRUE)</f>
        <v>$3.001 to $7.000</v>
      </c>
    </row>
    <row r="1432" spans="1:37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VLOOKUP(A1432,Assets!$B$7:$C$11,2,TRUE)</f>
        <v>36 to 45 years old</v>
      </c>
      <c r="AK1432" t="str">
        <f>VLOOKUP(S1432,Assets!$B$11:$C$26,2,TRUE)</f>
        <v>Over $12.000</v>
      </c>
    </row>
    <row r="1433" spans="1:37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VLOOKUP(A1433,Assets!$B$7:$C$11,2,TRUE)</f>
        <v>26 to 35 years old</v>
      </c>
      <c r="AK1433" t="str">
        <f>VLOOKUP(S1433,Assets!$B$11:$C$26,2,TRUE)</f>
        <v>$7.001 to $12.000</v>
      </c>
    </row>
    <row r="1434" spans="1:37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VLOOKUP(A1434,Assets!$B$7:$C$11,2,TRUE)</f>
        <v>36 to 45 years old</v>
      </c>
      <c r="AK1434" t="str">
        <f>VLOOKUP(S1434,Assets!$B$11:$C$26,2,TRUE)</f>
        <v>Over $12.000</v>
      </c>
    </row>
    <row r="1435" spans="1:37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VLOOKUP(A1435,Assets!$B$7:$C$11,2,TRUE)</f>
        <v>18 to 25 years old</v>
      </c>
      <c r="AK1435" t="str">
        <f>VLOOKUP(S1435,Assets!$B$11:$C$26,2,TRUE)</f>
        <v>$3.001 to $7.000</v>
      </c>
    </row>
    <row r="1436" spans="1:37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VLOOKUP(A1436,Assets!$B$7:$C$11,2,TRUE)</f>
        <v>46 to 55 years old</v>
      </c>
      <c r="AK1436" t="str">
        <f>VLOOKUP(S1436,Assets!$B$11:$C$26,2,TRUE)</f>
        <v>$3.001 to $7.000</v>
      </c>
    </row>
    <row r="1437" spans="1:37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VLOOKUP(A1437,Assets!$B$7:$C$11,2,TRUE)</f>
        <v>36 to 45 years old</v>
      </c>
      <c r="AK1437" t="str">
        <f>VLOOKUP(S1437,Assets!$B$11:$C$26,2,TRUE)</f>
        <v>Up to $3.000</v>
      </c>
    </row>
    <row r="1438" spans="1:37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VLOOKUP(A1438,Assets!$B$7:$C$11,2,TRUE)</f>
        <v>18 to 25 years old</v>
      </c>
      <c r="AK1438" t="str">
        <f>VLOOKUP(S1438,Assets!$B$11:$C$26,2,TRUE)</f>
        <v>Up to $3.000</v>
      </c>
    </row>
    <row r="1439" spans="1:37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VLOOKUP(A1439,Assets!$B$7:$C$11,2,TRUE)</f>
        <v>36 to 45 years old</v>
      </c>
      <c r="AK1439" t="str">
        <f>VLOOKUP(S1439,Assets!$B$11:$C$26,2,TRUE)</f>
        <v>Over $12.000</v>
      </c>
    </row>
    <row r="1440" spans="1:37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VLOOKUP(A1440,Assets!$B$7:$C$11,2,TRUE)</f>
        <v>18 to 25 years old</v>
      </c>
      <c r="AK1440" t="str">
        <f>VLOOKUP(S1440,Assets!$B$11:$C$26,2,TRUE)</f>
        <v>Up to $3.000</v>
      </c>
    </row>
    <row r="1441" spans="1:37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VLOOKUP(A1441,Assets!$B$7:$C$11,2,TRUE)</f>
        <v>36 to 45 years old</v>
      </c>
      <c r="AK1441" t="str">
        <f>VLOOKUP(S1441,Assets!$B$11:$C$26,2,TRUE)</f>
        <v>$7.001 to $12.000</v>
      </c>
    </row>
    <row r="1442" spans="1:37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VLOOKUP(A1442,Assets!$B$7:$C$11,2,TRUE)</f>
        <v>36 to 45 years old</v>
      </c>
      <c r="AK1442" t="str">
        <f>VLOOKUP(S1442,Assets!$B$11:$C$26,2,TRUE)</f>
        <v>$3.001 to $7.000</v>
      </c>
    </row>
    <row r="1443" spans="1:37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VLOOKUP(A1443,Assets!$B$7:$C$11,2,TRUE)</f>
        <v>56 years or older</v>
      </c>
      <c r="AK1443" t="str">
        <f>VLOOKUP(S1443,Assets!$B$11:$C$26,2,TRUE)</f>
        <v>$3.001 to $7.000</v>
      </c>
    </row>
    <row r="1444" spans="1:37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VLOOKUP(A1444,Assets!$B$7:$C$11,2,TRUE)</f>
        <v>26 to 35 years old</v>
      </c>
      <c r="AK1444" t="str">
        <f>VLOOKUP(S1444,Assets!$B$11:$C$26,2,TRUE)</f>
        <v>$3.001 to $7.000</v>
      </c>
    </row>
    <row r="1445" spans="1:37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VLOOKUP(A1445,Assets!$B$7:$C$11,2,TRUE)</f>
        <v>36 to 45 years old</v>
      </c>
      <c r="AK1445" t="str">
        <f>VLOOKUP(S1445,Assets!$B$11:$C$26,2,TRUE)</f>
        <v>Over $12.000</v>
      </c>
    </row>
    <row r="1446" spans="1:37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VLOOKUP(A1446,Assets!$B$7:$C$11,2,TRUE)</f>
        <v>56 years or older</v>
      </c>
      <c r="AK1446" t="str">
        <f>VLOOKUP(S1446,Assets!$B$11:$C$26,2,TRUE)</f>
        <v>Up to $3.000</v>
      </c>
    </row>
    <row r="1447" spans="1:37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VLOOKUP(A1447,Assets!$B$7:$C$11,2,TRUE)</f>
        <v>36 to 45 years old</v>
      </c>
      <c r="AK1447" t="str">
        <f>VLOOKUP(S1447,Assets!$B$11:$C$26,2,TRUE)</f>
        <v>Over $12.000</v>
      </c>
    </row>
    <row r="1448" spans="1:37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VLOOKUP(A1448,Assets!$B$7:$C$11,2,TRUE)</f>
        <v>26 to 35 years old</v>
      </c>
      <c r="AK1448" t="str">
        <f>VLOOKUP(S1448,Assets!$B$11:$C$26,2,TRUE)</f>
        <v>$3.001 to $7.000</v>
      </c>
    </row>
    <row r="1449" spans="1:37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VLOOKUP(A1449,Assets!$B$7:$C$11,2,TRUE)</f>
        <v>36 to 45 years old</v>
      </c>
      <c r="AK1449" t="str">
        <f>VLOOKUP(S1449,Assets!$B$11:$C$26,2,TRUE)</f>
        <v>$3.001 to $7.000</v>
      </c>
    </row>
    <row r="1450" spans="1:37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VLOOKUP(A1450,Assets!$B$7:$C$11,2,TRUE)</f>
        <v>36 to 45 years old</v>
      </c>
      <c r="AK1450" t="str">
        <f>VLOOKUP(S1450,Assets!$B$11:$C$26,2,TRUE)</f>
        <v>$7.001 to $12.000</v>
      </c>
    </row>
    <row r="1451" spans="1:37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VLOOKUP(A1451,Assets!$B$7:$C$11,2,TRUE)</f>
        <v>26 to 35 years old</v>
      </c>
      <c r="AK1451" t="str">
        <f>VLOOKUP(S1451,Assets!$B$11:$C$26,2,TRUE)</f>
        <v>Up to $3.000</v>
      </c>
    </row>
    <row r="1452" spans="1:37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VLOOKUP(A1452,Assets!$B$7:$C$11,2,TRUE)</f>
        <v>26 to 35 years old</v>
      </c>
      <c r="AK1452" t="str">
        <f>VLOOKUP(S1452,Assets!$B$11:$C$26,2,TRUE)</f>
        <v>$7.001 to $12.000</v>
      </c>
    </row>
    <row r="1453" spans="1:37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VLOOKUP(A1453,Assets!$B$7:$C$11,2,TRUE)</f>
        <v>36 to 45 years old</v>
      </c>
      <c r="AK1453" t="str">
        <f>VLOOKUP(S1453,Assets!$B$11:$C$26,2,TRUE)</f>
        <v>$3.001 to $7.000</v>
      </c>
    </row>
    <row r="1454" spans="1:37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VLOOKUP(A1454,Assets!$B$7:$C$11,2,TRUE)</f>
        <v>46 to 55 years old</v>
      </c>
      <c r="AK1454" t="str">
        <f>VLOOKUP(S1454,Assets!$B$11:$C$26,2,TRUE)</f>
        <v>$3.001 to $7.000</v>
      </c>
    </row>
    <row r="1455" spans="1:37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VLOOKUP(A1455,Assets!$B$7:$C$11,2,TRUE)</f>
        <v>36 to 45 years old</v>
      </c>
      <c r="AK1455" t="str">
        <f>VLOOKUP(S1455,Assets!$B$11:$C$26,2,TRUE)</f>
        <v>$3.001 to $7.000</v>
      </c>
    </row>
    <row r="1456" spans="1:37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VLOOKUP(A1456,Assets!$B$7:$C$11,2,TRUE)</f>
        <v>36 to 45 years old</v>
      </c>
      <c r="AK1456" t="str">
        <f>VLOOKUP(S1456,Assets!$B$11:$C$26,2,TRUE)</f>
        <v>$3.001 to $7.000</v>
      </c>
    </row>
    <row r="1457" spans="1:37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VLOOKUP(A1457,Assets!$B$7:$C$11,2,TRUE)</f>
        <v>36 to 45 years old</v>
      </c>
      <c r="AK1457" t="str">
        <f>VLOOKUP(S1457,Assets!$B$11:$C$26,2,TRUE)</f>
        <v>Up to $3.000</v>
      </c>
    </row>
    <row r="1458" spans="1:37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VLOOKUP(A1458,Assets!$B$7:$C$11,2,TRUE)</f>
        <v>26 to 35 years old</v>
      </c>
      <c r="AK1458" t="str">
        <f>VLOOKUP(S1458,Assets!$B$11:$C$26,2,TRUE)</f>
        <v>$3.001 to $7.000</v>
      </c>
    </row>
    <row r="1459" spans="1:37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VLOOKUP(A1459,Assets!$B$7:$C$11,2,TRUE)</f>
        <v>36 to 45 years old</v>
      </c>
      <c r="AK1459" t="str">
        <f>VLOOKUP(S1459,Assets!$B$11:$C$26,2,TRUE)</f>
        <v>Up to $3.000</v>
      </c>
    </row>
    <row r="1460" spans="1:37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VLOOKUP(A1460,Assets!$B$7:$C$11,2,TRUE)</f>
        <v>26 to 35 years old</v>
      </c>
      <c r="AK1460" t="str">
        <f>VLOOKUP(S1460,Assets!$B$11:$C$26,2,TRUE)</f>
        <v>Up to $3.000</v>
      </c>
    </row>
    <row r="1461" spans="1:37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VLOOKUP(A1461,Assets!$B$7:$C$11,2,TRUE)</f>
        <v>26 to 35 years old</v>
      </c>
      <c r="AK1461" t="str">
        <f>VLOOKUP(S1461,Assets!$B$11:$C$26,2,TRUE)</f>
        <v>$3.001 to $7.000</v>
      </c>
    </row>
    <row r="1462" spans="1:37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VLOOKUP(A1462,Assets!$B$7:$C$11,2,TRUE)</f>
        <v>26 to 35 years old</v>
      </c>
      <c r="AK1462" t="str">
        <f>VLOOKUP(S1462,Assets!$B$11:$C$26,2,TRUE)</f>
        <v>$3.001 to $7.000</v>
      </c>
    </row>
    <row r="1463" spans="1:37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VLOOKUP(A1463,Assets!$B$7:$C$11,2,TRUE)</f>
        <v>46 to 55 years old</v>
      </c>
      <c r="AK1463" t="str">
        <f>VLOOKUP(S1463,Assets!$B$11:$C$26,2,TRUE)</f>
        <v>$7.001 to $12.000</v>
      </c>
    </row>
    <row r="1464" spans="1:37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VLOOKUP(A1464,Assets!$B$7:$C$11,2,TRUE)</f>
        <v>36 to 45 years old</v>
      </c>
      <c r="AK1464" t="str">
        <f>VLOOKUP(S1464,Assets!$B$11:$C$26,2,TRUE)</f>
        <v>Over $12.000</v>
      </c>
    </row>
    <row r="1465" spans="1:37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VLOOKUP(A1465,Assets!$B$7:$C$11,2,TRUE)</f>
        <v>26 to 35 years old</v>
      </c>
      <c r="AK1465" t="str">
        <f>VLOOKUP(S1465,Assets!$B$11:$C$26,2,TRUE)</f>
        <v>$7.001 to $12.000</v>
      </c>
    </row>
    <row r="1466" spans="1:37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VLOOKUP(A1466,Assets!$B$7:$C$11,2,TRUE)</f>
        <v>26 to 35 years old</v>
      </c>
      <c r="AK1466" t="str">
        <f>VLOOKUP(S1466,Assets!$B$11:$C$26,2,TRUE)</f>
        <v>Up to $3.000</v>
      </c>
    </row>
    <row r="1467" spans="1:37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VLOOKUP(A1467,Assets!$B$7:$C$11,2,TRUE)</f>
        <v>36 to 45 years old</v>
      </c>
      <c r="AK1467" t="str">
        <f>VLOOKUP(S1467,Assets!$B$11:$C$26,2,TRUE)</f>
        <v>Up to $3.000</v>
      </c>
    </row>
    <row r="1468" spans="1:37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VLOOKUP(A1468,Assets!$B$7:$C$11,2,TRUE)</f>
        <v>36 to 45 years old</v>
      </c>
      <c r="AK1468" t="str">
        <f>VLOOKUP(S1468,Assets!$B$11:$C$26,2,TRUE)</f>
        <v>$7.001 to $12.000</v>
      </c>
    </row>
    <row r="1469" spans="1:37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VLOOKUP(A1469,Assets!$B$7:$C$11,2,TRUE)</f>
        <v>26 to 35 years old</v>
      </c>
      <c r="AK1469" t="str">
        <f>VLOOKUP(S1469,Assets!$B$11:$C$26,2,TRUE)</f>
        <v>$3.001 to $7.000</v>
      </c>
    </row>
    <row r="1470" spans="1:37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VLOOKUP(A1470,Assets!$B$7:$C$11,2,TRUE)</f>
        <v>46 to 55 years old</v>
      </c>
      <c r="AK1470" t="str">
        <f>VLOOKUP(S1470,Assets!$B$11:$C$26,2,TRUE)</f>
        <v>$3.001 to $7.000</v>
      </c>
    </row>
    <row r="1471" spans="1:37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VLOOKUP(A1471,Assets!$B$7:$C$11,2,TRUE)</f>
        <v>26 to 35 years old</v>
      </c>
      <c r="AK1471" t="str">
        <f>VLOOKUP(S1471,Assets!$B$11:$C$26,2,TRUE)</f>
        <v>$3.001 to $7.000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4"/>
  <sheetViews>
    <sheetView showGridLines="0" showRowColHeaders="0" tabSelected="1" zoomScale="70" zoomScaleNormal="70" workbookViewId="0">
      <selection activeCell="A4" sqref="A4"/>
    </sheetView>
  </sheetViews>
  <sheetFormatPr defaultRowHeight="14.5" x14ac:dyDescent="0.35"/>
  <cols>
    <col min="1" max="1" width="8.7265625" style="4"/>
    <col min="2" max="2" width="8.7265625" customWidth="1"/>
    <col min="3" max="3" width="11.26953125" customWidth="1"/>
  </cols>
  <sheetData>
    <row r="1" spans="1:49" s="21" customFormat="1" x14ac:dyDescent="0.35">
      <c r="A1" s="4"/>
    </row>
    <row r="2" spans="1:49" s="21" customFormat="1" ht="24.5" customHeight="1" thickBot="1" x14ac:dyDescent="0.5">
      <c r="A2" s="4"/>
      <c r="C2" s="25" t="s">
        <v>73</v>
      </c>
      <c r="D2" s="25"/>
      <c r="E2" s="25"/>
      <c r="F2" s="25"/>
      <c r="G2" s="25"/>
      <c r="H2" s="25"/>
      <c r="I2" s="25"/>
      <c r="J2" s="24"/>
      <c r="K2" s="24"/>
      <c r="L2" s="24"/>
      <c r="M2" s="24"/>
      <c r="N2" s="24"/>
      <c r="O2" s="24"/>
      <c r="P2" s="24"/>
    </row>
    <row r="3" spans="1:49" s="21" customFormat="1" ht="16.5" customHeight="1" thickTop="1" x14ac:dyDescent="0.35">
      <c r="A3" s="4"/>
    </row>
    <row r="4" spans="1:49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spans="1:49" x14ac:dyDescent="0.3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spans="1:49" x14ac:dyDescent="0.35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spans="1:49" x14ac:dyDescent="0.35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pans="1:49" x14ac:dyDescent="0.35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spans="1:49" x14ac:dyDescent="0.35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</row>
    <row r="10" spans="1:49" x14ac:dyDescent="0.3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</row>
    <row r="11" spans="1:49" x14ac:dyDescent="0.3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spans="1:49" x14ac:dyDescent="0.3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</row>
    <row r="13" spans="1:49" x14ac:dyDescent="0.3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</row>
    <row r="14" spans="1:49" x14ac:dyDescent="0.35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</row>
    <row r="15" spans="1:49" x14ac:dyDescent="0.3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</row>
    <row r="16" spans="1:49" x14ac:dyDescent="0.35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</row>
    <row r="17" spans="2:49" x14ac:dyDescent="0.35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2:49" x14ac:dyDescent="0.35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2:49" x14ac:dyDescent="0.35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2:49" x14ac:dyDescent="0.35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2:49" x14ac:dyDescent="0.35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2:49" x14ac:dyDescent="0.35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2:49" x14ac:dyDescent="0.35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2:49" x14ac:dyDescent="0.35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2:49" x14ac:dyDescent="0.3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2:49" x14ac:dyDescent="0.35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2:49" x14ac:dyDescent="0.35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 spans="2:49" x14ac:dyDescent="0.35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 spans="2:49" x14ac:dyDescent="0.3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2:49" x14ac:dyDescent="0.35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2:49" x14ac:dyDescent="0.35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 spans="2:49" x14ac:dyDescent="0.3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2:49" x14ac:dyDescent="0.35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2:49" x14ac:dyDescent="0.3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2:49" x14ac:dyDescent="0.3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2:49" x14ac:dyDescent="0.35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</row>
    <row r="37" spans="2:49" x14ac:dyDescent="0.3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2:49" x14ac:dyDescent="0.3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</row>
    <row r="39" spans="2:49" x14ac:dyDescent="0.3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2:49" x14ac:dyDescent="0.3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</row>
    <row r="41" spans="2:49" x14ac:dyDescent="0.35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2:49" x14ac:dyDescent="0.3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</row>
    <row r="43" spans="2:49" x14ac:dyDescent="0.3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</row>
    <row r="44" spans="2:49" x14ac:dyDescent="0.3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</row>
    <row r="45" spans="2:49" x14ac:dyDescent="0.3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</row>
    <row r="46" spans="2:49" x14ac:dyDescent="0.3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</row>
    <row r="47" spans="2:49" x14ac:dyDescent="0.3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2:49" x14ac:dyDescent="0.3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</row>
    <row r="49" spans="2:49" x14ac:dyDescent="0.3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</row>
    <row r="50" spans="2:49" x14ac:dyDescent="0.3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</row>
    <row r="51" spans="2:49" x14ac:dyDescent="0.3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</row>
    <row r="52" spans="2:49" x14ac:dyDescent="0.3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</row>
    <row r="53" spans="2:49" x14ac:dyDescent="0.3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</row>
    <row r="54" spans="2:49" x14ac:dyDescent="0.3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</row>
    <row r="55" spans="2:49" x14ac:dyDescent="0.3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</row>
    <row r="56" spans="2:49" x14ac:dyDescent="0.3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</row>
    <row r="57" spans="2:49" x14ac:dyDescent="0.3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</row>
    <row r="58" spans="2:49" x14ac:dyDescent="0.3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</row>
    <row r="59" spans="2:49" x14ac:dyDescent="0.3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</row>
    <row r="60" spans="2:49" x14ac:dyDescent="0.3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</row>
    <row r="61" spans="2:49" x14ac:dyDescent="0.3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</row>
    <row r="62" spans="2:49" x14ac:dyDescent="0.3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</row>
    <row r="63" spans="2:49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</row>
    <row r="64" spans="2:49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</row>
    <row r="65" spans="2:49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</row>
    <row r="66" spans="2:49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</row>
    <row r="67" spans="2:49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</row>
    <row r="68" spans="2:49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</row>
    <row r="69" spans="2:49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</row>
    <row r="70" spans="2:49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</row>
    <row r="71" spans="2:49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</row>
    <row r="72" spans="2:49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</row>
    <row r="73" spans="2:49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</row>
    <row r="74" spans="2:49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</row>
    <row r="75" spans="2:49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</row>
    <row r="76" spans="2:49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</row>
    <row r="77" spans="2:49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</row>
    <row r="78" spans="2:49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</row>
    <row r="79" spans="2:49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</row>
    <row r="80" spans="2:49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</row>
    <row r="81" spans="2:49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</row>
    <row r="82" spans="2:49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</row>
    <row r="83" spans="2:49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</row>
    <row r="84" spans="2:49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</row>
  </sheetData>
  <mergeCells count="1">
    <mergeCell ref="C2:I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Assets</vt:lpstr>
      <vt:lpstr>Base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2026-06-16T13:13:08Z</dcterms:created>
  <dcterms:modified xsi:type="dcterms:W3CDTF">2026-07-16T17:41:56Z</dcterms:modified>
</cp:coreProperties>
</file>